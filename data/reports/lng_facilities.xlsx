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arti\ClaudeProjects\data\reports\"/>
    </mc:Choice>
  </mc:AlternateContent>
  <xr:revisionPtr revIDLastSave="0" documentId="13_ncr:1_{A1CB5A4E-26F9-4810-9FD8-DD0C0915A4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Liquefaction — Operational" sheetId="2" r:id="rId2"/>
    <sheet name="Liquefaction — Upcoming" sheetId="3" r:id="rId3"/>
    <sheet name="Regasification — Operational" sheetId="4" r:id="rId4"/>
    <sheet name="Regasification — Upcoming" sheetId="5" r:id="rId5"/>
    <sheet name="Capacity Schedule" sheetId="6" r:id="rId6"/>
    <sheet name="Disruptions" sheetId="7" r:id="rId7"/>
    <sheet name="Sources" sheetId="8" r:id="rId8"/>
  </sheets>
  <definedNames>
    <definedName name="_xlnm._FilterDatabase" localSheetId="6" hidden="1">Disruptions!$A$1:$I$21</definedName>
    <definedName name="_xlnm._FilterDatabase" localSheetId="1" hidden="1">'Liquefaction — Operational'!$A$1:$Q$80</definedName>
    <definedName name="_xlnm._FilterDatabase" localSheetId="2" hidden="1">'Liquefaction — Upcoming'!$A$1:$Q$32</definedName>
    <definedName name="_xlnm._FilterDatabase" localSheetId="3" hidden="1">'Regasification — Operational'!$A$1:$O$67</definedName>
    <definedName name="_xlnm._FilterDatabase" localSheetId="4" hidden="1">'Regasification — Upcoming'!$A$1:$O$3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B20" i="1"/>
  <c r="B19" i="1"/>
  <c r="B18" i="1"/>
  <c r="B17" i="1"/>
  <c r="B16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<sst xmlns="http://schemas.openxmlformats.org/spreadsheetml/2006/main" count="2759" uniqueCount="1099">
  <si>
    <t>LNG Facilities — Consolidated Summary</t>
  </si>
  <si>
    <t>Generated: 2026-06-22T12:42:46</t>
  </si>
  <si>
    <t>Values pull live from the underlying tabs — edit cells there and the Summary updates on recalc.</t>
  </si>
  <si>
    <t>Overall</t>
  </si>
  <si>
    <t>Liquefaction facilities tracked</t>
  </si>
  <si>
    <t xml:space="preserve">  Operational trains</t>
  </si>
  <si>
    <t xml:space="preserve">  Upcoming (planned/FID/construction/commissioning)</t>
  </si>
  <si>
    <t xml:space="preserve">  Mothballed / paused / retired</t>
  </si>
  <si>
    <t>Regasification terminals tracked</t>
  </si>
  <si>
    <t xml:space="preserve">  Operational</t>
  </si>
  <si>
    <t xml:space="preserve">  Upcoming</t>
  </si>
  <si>
    <t>Active disruptions (end_date blank)</t>
  </si>
  <si>
    <t>Capacity (MTPA)</t>
  </si>
  <si>
    <t>Operational liquefaction nameplate (MTPA)</t>
  </si>
  <si>
    <t>Operational liquefaction effective (MTPA)</t>
  </si>
  <si>
    <t>Upcoming liquefaction nameplate (MTPA)</t>
  </si>
  <si>
    <t>Operational regas send-out (MTPA equiv)</t>
  </si>
  <si>
    <t>Upcoming regas send-out (MTPA equiv)</t>
  </si>
  <si>
    <t>Operational Liquefaction by Region</t>
  </si>
  <si>
    <t>Region</t>
  </si>
  <si>
    <t>Nameplate (MTPA)</t>
  </si>
  <si>
    <t>Effective (MTPA)</t>
  </si>
  <si>
    <t>Trains</t>
  </si>
  <si>
    <t>Australia</t>
  </si>
  <si>
    <t>Europe</t>
  </si>
  <si>
    <t>Latin America</t>
  </si>
  <si>
    <t>MENA</t>
  </si>
  <si>
    <t>North America</t>
  </si>
  <si>
    <t>Russia/Arctic</t>
  </si>
  <si>
    <t>SE Asia</t>
  </si>
  <si>
    <t>Sub-Saharan Africa</t>
  </si>
  <si>
    <t>Facility ID</t>
  </si>
  <si>
    <t>Country</t>
  </si>
  <si>
    <t>Facility</t>
  </si>
  <si>
    <t>Operator</t>
  </si>
  <si>
    <t>Train</t>
  </si>
  <si>
    <t>Status</t>
  </si>
  <si>
    <t>FID</t>
  </si>
  <si>
    <t>Start / COD</t>
  </si>
  <si>
    <t>Ramp-up</t>
  </si>
  <si>
    <t>Feedgas</t>
  </si>
  <si>
    <t>Offtake</t>
  </si>
  <si>
    <t>Source</t>
  </si>
  <si>
    <t>Updated</t>
  </si>
  <si>
    <t>Notes</t>
  </si>
  <si>
    <t>AU-APLNG-T1</t>
  </si>
  <si>
    <t>Australia Pacific LNG</t>
  </si>
  <si>
    <t>ConocoPhillips/Origin/Sinopec</t>
  </si>
  <si>
    <t>T1</t>
  </si>
  <si>
    <t>operational</t>
  </si>
  <si>
    <t>2011-07-28</t>
  </si>
  <si>
    <t>2015-12-17</t>
  </si>
  <si>
    <t>immediate</t>
  </si>
  <si>
    <t>Queensland CSG</t>
  </si>
  <si>
    <t>Sinopec/Kansai Electric</t>
  </si>
  <si>
    <t>Origin/COP releases</t>
  </si>
  <si>
    <t>2026-06-01</t>
  </si>
  <si>
    <t>Curtis Island Gladstone</t>
  </si>
  <si>
    <t>AU-APLNG-T2</t>
  </si>
  <si>
    <t>T2</t>
  </si>
  <si>
    <t>2016-10-13</t>
  </si>
  <si>
    <t>Sinopec</t>
  </si>
  <si>
    <t>Same</t>
  </si>
  <si>
    <t>AU-GLNG-T1</t>
  </si>
  <si>
    <t>Gladstone LNG</t>
  </si>
  <si>
    <t>Santos/Petronas/Total/KOGAS</t>
  </si>
  <si>
    <t>2010-12-13</t>
  </si>
  <si>
    <t>2015-10-13</t>
  </si>
  <si>
    <t>KOGAS/Petronas</t>
  </si>
  <si>
    <t>Santos</t>
  </si>
  <si>
    <t>Curtis Island; feedgas constrained</t>
  </si>
  <si>
    <t>AU-GLNG-T2</t>
  </si>
  <si>
    <t>2016-05-01</t>
  </si>
  <si>
    <t>AU-GORGON-T1</t>
  </si>
  <si>
    <t>Gorgon LNG</t>
  </si>
  <si>
    <t>Chevron/ExxonMobil/Shell</t>
  </si>
  <si>
    <t>2009-09-14</t>
  </si>
  <si>
    <t>2016-03-21</t>
  </si>
  <si>
    <t>Gorgon/Jansz-Io</t>
  </si>
  <si>
    <t>Long-term portfolio</t>
  </si>
  <si>
    <t>Chevron</t>
  </si>
  <si>
    <t>Barrow Island</t>
  </si>
  <si>
    <t>AU-GORGON-T2</t>
  </si>
  <si>
    <t>2016-10-15</t>
  </si>
  <si>
    <t>AU-GORGON-T3</t>
  </si>
  <si>
    <t>T3</t>
  </si>
  <si>
    <t>2017-03-01</t>
  </si>
  <si>
    <t>AU-ICHTHYS-T1</t>
  </si>
  <si>
    <t>Ichthys LNG</t>
  </si>
  <si>
    <t>INPEX/TotalEnergies</t>
  </si>
  <si>
    <t>2012-01-13</t>
  </si>
  <si>
    <t>2018-10-09</t>
  </si>
  <si>
    <t>Ichthys field</t>
  </si>
  <si>
    <t>JERA/Tokyo Gas/Osaka Gas portfolio</t>
  </si>
  <si>
    <t>INPEX</t>
  </si>
  <si>
    <t>Darwin</t>
  </si>
  <si>
    <t>AU-ICHTHYS-T2</t>
  </si>
  <si>
    <t>2018-12-30</t>
  </si>
  <si>
    <t>AU-NWS-T1</t>
  </si>
  <si>
    <t>North West Shelf</t>
  </si>
  <si>
    <t>Woodside/BP/Chevron/Shell/MIMI</t>
  </si>
  <si>
    <t>1980-01-01</t>
  </si>
  <si>
    <t>1989-08-15</t>
  </si>
  <si>
    <t>Carnarvon Basin</t>
  </si>
  <si>
    <t>Japanese utilities portfolio</t>
  </si>
  <si>
    <t>Woodside reports</t>
  </si>
  <si>
    <t>Original 1989 train</t>
  </si>
  <si>
    <t>AU-NWS-T2</t>
  </si>
  <si>
    <t>Woodside</t>
  </si>
  <si>
    <t>AU-NWS-T3</t>
  </si>
  <si>
    <t>1989-01-01</t>
  </si>
  <si>
    <t>1992-10-01</t>
  </si>
  <si>
    <t>AU-NWS-T4</t>
  </si>
  <si>
    <t>T4</t>
  </si>
  <si>
    <t>2001-01-01</t>
  </si>
  <si>
    <t>2004-09-01</t>
  </si>
  <si>
    <t>AU-NWS-T5</t>
  </si>
  <si>
    <t>T5</t>
  </si>
  <si>
    <t>2005-01-01</t>
  </si>
  <si>
    <t>2008-09-01</t>
  </si>
  <si>
    <t>Carnarvon Basin (declining; future Browse/Scarborough backfill)</t>
  </si>
  <si>
    <t>Feedgas constrained; backfill key</t>
  </si>
  <si>
    <t>AU-PLUTO-T1</t>
  </si>
  <si>
    <t>Pluto LNG</t>
  </si>
  <si>
    <t>2007-07-20</t>
  </si>
  <si>
    <t>2012-04-22</t>
  </si>
  <si>
    <t>Pluto field</t>
  </si>
  <si>
    <t>Tokyo Gas/Kansai Electric</t>
  </si>
  <si>
    <t>AU-PRELUDE-FLNG</t>
  </si>
  <si>
    <t>Prelude FLNG</t>
  </si>
  <si>
    <t>Shell/INPEX/KOGAS/CPC</t>
  </si>
  <si>
    <t>FLNG</t>
  </si>
  <si>
    <t>2011-05-20</t>
  </si>
  <si>
    <t>2019-06-25</t>
  </si>
  <si>
    <t>slow ramp</t>
  </si>
  <si>
    <t>Prelude field</t>
  </si>
  <si>
    <t>Shell offtake</t>
  </si>
  <si>
    <t>Shell</t>
  </si>
  <si>
    <t>FLNG; ongoing operational issues</t>
  </si>
  <si>
    <t>AU-QCLNG-T1</t>
  </si>
  <si>
    <t>Queensland Curtis LNG</t>
  </si>
  <si>
    <t>Shell (BG legacy)</t>
  </si>
  <si>
    <t>2010-10-30</t>
  </si>
  <si>
    <t>2014-12-31</t>
  </si>
  <si>
    <t>Shell portfolio</t>
  </si>
  <si>
    <t>AU-QCLNG-T2</t>
  </si>
  <si>
    <t>2015-09-30</t>
  </si>
  <si>
    <t>AU-WHEATSTONE-T1</t>
  </si>
  <si>
    <t>Wheatstone LNG</t>
  </si>
  <si>
    <t>Chevron/Kuwait Foreign/Woodside/JERA/PE Wheatstone</t>
  </si>
  <si>
    <t>2011-09-27</t>
  </si>
  <si>
    <t>2017-10-09</t>
  </si>
  <si>
    <t>Wheatstone/Iago</t>
  </si>
  <si>
    <t>AU-WHEATSTONE-T2</t>
  </si>
  <si>
    <t>2018-06-22</t>
  </si>
  <si>
    <t>PG-PNGLNG-T1</t>
  </si>
  <si>
    <t>Papua New Guinea</t>
  </si>
  <si>
    <t>PNG LNG</t>
  </si>
  <si>
    <t>ExxonMobil/Oil Search/Santos/Kumul/MRDC/JX Nippon</t>
  </si>
  <si>
    <t>2009-12-08</t>
  </si>
  <si>
    <t>2014-04-25</t>
  </si>
  <si>
    <t>PNG Highlands</t>
  </si>
  <si>
    <t>JERA/Osaka Gas/Sinopec/CPC</t>
  </si>
  <si>
    <t>ExxonMobil</t>
  </si>
  <si>
    <t>PG-PNGLNG-T2</t>
  </si>
  <si>
    <t>2014-07-15</t>
  </si>
  <si>
    <t>Expansion ('P'nyang') project in study</t>
  </si>
  <si>
    <t>NO-SNOHVIT</t>
  </si>
  <si>
    <t>Norway</t>
  </si>
  <si>
    <t>Snøhvit LNG (Hammerfest)</t>
  </si>
  <si>
    <t>Equinor</t>
  </si>
  <si>
    <t>single</t>
  </si>
  <si>
    <t>2002-03-23</t>
  </si>
  <si>
    <t>2007-09-01</t>
  </si>
  <si>
    <t>Snøhvit field</t>
  </si>
  <si>
    <t>Iberdrola/Total/RWE legacy</t>
  </si>
  <si>
    <t>Hammerfest LNG; key European supply</t>
  </si>
  <si>
    <t>TT-ATLANTIC-T2</t>
  </si>
  <si>
    <t>Trinidad and Tobago</t>
  </si>
  <si>
    <t>Atlantic LNG</t>
  </si>
  <si>
    <t>Shell/BP/NGC/CIC</t>
  </si>
  <si>
    <t>1995-01-01</t>
  </si>
  <si>
    <t>2002-08-01</t>
  </si>
  <si>
    <t>Trinidad</t>
  </si>
  <si>
    <t>Feedgas constrained</t>
  </si>
  <si>
    <t>TT-ATLANTIC-T3</t>
  </si>
  <si>
    <t>2003-04-25</t>
  </si>
  <si>
    <t>TT-ATLANTIC-T4</t>
  </si>
  <si>
    <t>2002-01-01</t>
  </si>
  <si>
    <t>2005-12-28</t>
  </si>
  <si>
    <t>Largest train; feedgas constrained</t>
  </si>
  <si>
    <t>EG-DAMIETTA</t>
  </si>
  <si>
    <t>Egypt</t>
  </si>
  <si>
    <t>Damietta LNG</t>
  </si>
  <si>
    <t>SEGAS (Eni/EGAS/EGPC)</t>
  </si>
  <si>
    <t>1998-01-01</t>
  </si>
  <si>
    <t>Egyptian offshore (Zohr/WDDM)</t>
  </si>
  <si>
    <t>Portfolio</t>
  </si>
  <si>
    <t>Eni</t>
  </si>
  <si>
    <t>Restarted 2021 after 8-year halt; intermittent</t>
  </si>
  <si>
    <t>EG-IDKU-T1</t>
  </si>
  <si>
    <t>Egyptian LNG (Idku)</t>
  </si>
  <si>
    <t>Shell/Petronas/EGAS/EGPC</t>
  </si>
  <si>
    <t>2005-05-13</t>
  </si>
  <si>
    <t>WDDM/Egyptian offshore</t>
  </si>
  <si>
    <t>EG-IDKU-T2</t>
  </si>
  <si>
    <t>2005-09-25</t>
  </si>
  <si>
    <t>Frequently curtailed by domestic demand</t>
  </si>
  <si>
    <t>QA-QATARENERGY-QG1</t>
  </si>
  <si>
    <t>Qatar</t>
  </si>
  <si>
    <t>Qatargas 1</t>
  </si>
  <si>
    <t>QatarEnergy LNG</t>
  </si>
  <si>
    <t>T1-T2</t>
  </si>
  <si>
    <t>1992-01-01</t>
  </si>
  <si>
    <t>1997-12-15</t>
  </si>
  <si>
    <t>North Field</t>
  </si>
  <si>
    <t>JERA/Tokyo Gas/Chubu Electric (legacy long-term)</t>
  </si>
  <si>
    <t>QatarEnergy releases</t>
  </si>
  <si>
    <t>Two trains aggregated; longest-running Qatari LNG</t>
  </si>
  <si>
    <t>QA-QATARENERGY-QG2</t>
  </si>
  <si>
    <t>Qatargas 2</t>
  </si>
  <si>
    <t>T4-T5</t>
  </si>
  <si>
    <t>2003-01-01</t>
  </si>
  <si>
    <t>2009-04-06</t>
  </si>
  <si>
    <t>ExxonMobil/Total/Sinopec portfolio</t>
  </si>
  <si>
    <t>QatarEnergy</t>
  </si>
  <si>
    <t>Two megatrains 7.8 MTPA each</t>
  </si>
  <si>
    <t>QA-QATARENERGY-QG3</t>
  </si>
  <si>
    <t>Qatargas 3</t>
  </si>
  <si>
    <t>T6</t>
  </si>
  <si>
    <t>2010-11-15</t>
  </si>
  <si>
    <t>ConocoPhillips/Mitsui</t>
  </si>
  <si>
    <t>Single megatrain</t>
  </si>
  <si>
    <t>QA-QATARENERGY-QG4</t>
  </si>
  <si>
    <t>Qatargas 4</t>
  </si>
  <si>
    <t>T7</t>
  </si>
  <si>
    <t>2011-02-15</t>
  </si>
  <si>
    <t>QA-QATARENERGY-RG1</t>
  </si>
  <si>
    <t>RasGas 1</t>
  </si>
  <si>
    <t>1996-01-01</t>
  </si>
  <si>
    <t>1999-08-04</t>
  </si>
  <si>
    <t>KOGAS/POSCO</t>
  </si>
  <si>
    <t>Merged into QatarEnergy LNG</t>
  </si>
  <si>
    <t>QA-QATARENERGY-RG2</t>
  </si>
  <si>
    <t>RasGas 2</t>
  </si>
  <si>
    <t>T3-T4-T5</t>
  </si>
  <si>
    <t>2004-05-15</t>
  </si>
  <si>
    <t>Y1-Y3 staggered start 2004-2007</t>
  </si>
  <si>
    <t>Distrigas/Edison/India Petronet</t>
  </si>
  <si>
    <t>3 trains; mid-size</t>
  </si>
  <si>
    <t>QA-QATARENERGY-RG3</t>
  </si>
  <si>
    <t>RasGas 3</t>
  </si>
  <si>
    <t>T6-T7</t>
  </si>
  <si>
    <t>2009-10-15</t>
  </si>
  <si>
    <t>Trains 2009 and 2010</t>
  </si>
  <si>
    <t>ExxonMobil offtake</t>
  </si>
  <si>
    <t>2 megatrains</t>
  </si>
  <si>
    <t>CA-LNGCANADA-T1</t>
  </si>
  <si>
    <t>Canada</t>
  </si>
  <si>
    <t>LNG Canada Phase 1</t>
  </si>
  <si>
    <t>Shell/PetroChina/Mitsubishi/MOGAS/KOGAS/Petronas</t>
  </si>
  <si>
    <t>2018-10-01</t>
  </si>
  <si>
    <t>2025-06-29</t>
  </si>
  <si>
    <t>Y1:80%;Y2:100%</t>
  </si>
  <si>
    <t>Montney basin</t>
  </si>
  <si>
    <t>JV offtake by shareholders</t>
  </si>
  <si>
    <t>Shell press release June 2025</t>
  </si>
  <si>
    <t>First cargo June 2025</t>
  </si>
  <si>
    <t>CA-LNGCANADA-T2</t>
  </si>
  <si>
    <t>2026-03-01</t>
  </si>
  <si>
    <t>Montney</t>
  </si>
  <si>
    <t>Same JV</t>
  </si>
  <si>
    <t>Shell releases; giignl.org LNG Canada T2 production; lngcanada.ca; argusmedia.com</t>
  </si>
  <si>
    <t>2026-06-22</t>
  </si>
  <si>
    <t>First LNG Nov 2025; COD spring 2026 per operator; commercial operations achieved ~Q1 2026</t>
  </si>
  <si>
    <t>US-CALCASIEU</t>
  </si>
  <si>
    <t>USA</t>
  </si>
  <si>
    <t>Calcasieu Pass</t>
  </si>
  <si>
    <t>Venture Global LNG</t>
  </si>
  <si>
    <t>Modular T1-T18</t>
  </si>
  <si>
    <t>2019-08-19</t>
  </si>
  <si>
    <t>2022-03-01</t>
  </si>
  <si>
    <t>US Gulf</t>
  </si>
  <si>
    <t>Portfolio + Shell/BP/EDF/Galp/Repsol/PGNiG</t>
  </si>
  <si>
    <t>VG SEC filings</t>
  </si>
  <si>
    <t>18 modular trains 0.55 MTPA each; commercial ops disputed by offtakers</t>
  </si>
  <si>
    <t>US-CAMERON-T1</t>
  </si>
  <si>
    <t>Cameron LNG</t>
  </si>
  <si>
    <t>Sempra Infrastructure</t>
  </si>
  <si>
    <t>2014-08-12</t>
  </si>
  <si>
    <t>2019-05-15</t>
  </si>
  <si>
    <t>Mitsubishi/Mitsui/TotalEnergies/Sempra</t>
  </si>
  <si>
    <t>Sempra 10-K</t>
  </si>
  <si>
    <t>US-CAMERON-T2</t>
  </si>
  <si>
    <t>2020-02-14</t>
  </si>
  <si>
    <t>US-CAMERON-T3</t>
  </si>
  <si>
    <t>2020-08-10</t>
  </si>
  <si>
    <t>US-CORPUSCHRISTI-T1</t>
  </si>
  <si>
    <t>Corpus Christi</t>
  </si>
  <si>
    <t>Cheniere Energy</t>
  </si>
  <si>
    <t>2015-05-13</t>
  </si>
  <si>
    <t>2019-05-22</t>
  </si>
  <si>
    <t>US shale</t>
  </si>
  <si>
    <t>Cheniere 10-K</t>
  </si>
  <si>
    <t>US-CORPUSCHRISTI-T2</t>
  </si>
  <si>
    <t>2019-09-30</t>
  </si>
  <si>
    <t>US-CORPUSCHRISTI-T3</t>
  </si>
  <si>
    <t>2018-05-09</t>
  </si>
  <si>
    <t>2021-03-26</t>
  </si>
  <si>
    <t>US-COVEPOINT</t>
  </si>
  <si>
    <t>Cove Point</t>
  </si>
  <si>
    <t>Berkshire Hathaway Energy</t>
  </si>
  <si>
    <t>2014-03-31</t>
  </si>
  <si>
    <t>2018-04-04</t>
  </si>
  <si>
    <t>Marcellus</t>
  </si>
  <si>
    <t>GAIL/Sumitomo (Tokyo Gas + Kansai Electric)</t>
  </si>
  <si>
    <t>Dominion (legacy) + BHE filings</t>
  </si>
  <si>
    <t>US-ELBA</t>
  </si>
  <si>
    <t>Elba Island</t>
  </si>
  <si>
    <t>Kinder Morgan</t>
  </si>
  <si>
    <t>Modular T1-T10</t>
  </si>
  <si>
    <t>2016-12-07</t>
  </si>
  <si>
    <t>2020-08-15</t>
  </si>
  <si>
    <t>Southeast US</t>
  </si>
  <si>
    <t>KMI 10-K</t>
  </si>
  <si>
    <t>10 small modular trains of 0.25 MTPA each</t>
  </si>
  <si>
    <t>US-FREEPORT-T1</t>
  </si>
  <si>
    <t>Freeport LNG</t>
  </si>
  <si>
    <t>2014-11-17</t>
  </si>
  <si>
    <t>2019-09-03</t>
  </si>
  <si>
    <t>Osaka Gas/JERA/BP/SK</t>
  </si>
  <si>
    <t>Freeport LNG releases</t>
  </si>
  <si>
    <t>Recovered after 2022 fire</t>
  </si>
  <si>
    <t>US-FREEPORT-T2</t>
  </si>
  <si>
    <t>2020-01-23</t>
  </si>
  <si>
    <t>US-FREEPORT-T3</t>
  </si>
  <si>
    <t>2020-05-19</t>
  </si>
  <si>
    <t>US-SABINEPASS-T1</t>
  </si>
  <si>
    <t>Sabine Pass</t>
  </si>
  <si>
    <t>2010-08-01</t>
  </si>
  <si>
    <t>2016-02-24</t>
  </si>
  <si>
    <t>US shale (Haynesville/Permian)</t>
  </si>
  <si>
    <t>BG/Shell/CFE/GAIL/GNF/KOGAS portfolio</t>
  </si>
  <si>
    <t>Cheniere 10-K + GIIGNL 2024</t>
  </si>
  <si>
    <t>Debottlenecked above nameplate</t>
  </si>
  <si>
    <t>US-SABINEPASS-T2</t>
  </si>
  <si>
    <t>2016-09-15</t>
  </si>
  <si>
    <t>Portfolio (long-term SPAs)</t>
  </si>
  <si>
    <t>US-SABINEPASS-T3</t>
  </si>
  <si>
    <t>2017-03-28</t>
  </si>
  <si>
    <t>US-SABINEPASS-T4</t>
  </si>
  <si>
    <t>2017-10-15</t>
  </si>
  <si>
    <t>US-SABINEPASS-T5</t>
  </si>
  <si>
    <t>2014-06-30</t>
  </si>
  <si>
    <t>2019-03-27</t>
  </si>
  <si>
    <t>US-SABINEPASS-T6</t>
  </si>
  <si>
    <t>2019-06-01</t>
  </si>
  <si>
    <t>2022-02-08</t>
  </si>
  <si>
    <t>RU-SAKHALIN2-T1</t>
  </si>
  <si>
    <t>Russia</t>
  </si>
  <si>
    <t>Sakhalin Energy LNG</t>
  </si>
  <si>
    <t>Gazprom/Mitsui/Mitsubishi</t>
  </si>
  <si>
    <t>2003-05-22</t>
  </si>
  <si>
    <t>2009-02-18</t>
  </si>
  <si>
    <t>Sakhalin shelf</t>
  </si>
  <si>
    <t>Japanese utilities (sanctions-exempted for now)</t>
  </si>
  <si>
    <t>Sakhalin Energy</t>
  </si>
  <si>
    <t>Shell exited 2022</t>
  </si>
  <si>
    <t>RU-SAKHALIN2-T2</t>
  </si>
  <si>
    <t>2009-06-16</t>
  </si>
  <si>
    <t>RU-YAMAL-T1</t>
  </si>
  <si>
    <t>Yamal LNG</t>
  </si>
  <si>
    <t>Novatek/TotalEnergies/CNPC/Silk Road Fund</t>
  </si>
  <si>
    <t>2013-12-18</t>
  </si>
  <si>
    <t>2017-12-08</t>
  </si>
  <si>
    <t>South Tambey</t>
  </si>
  <si>
    <t>Portfolio (shadow fleet redirection post-2022)</t>
  </si>
  <si>
    <t>Novatek</t>
  </si>
  <si>
    <t>RU-YAMAL-T2</t>
  </si>
  <si>
    <t>2018-08-01</t>
  </si>
  <si>
    <t>RU-YAMAL-T3</t>
  </si>
  <si>
    <t>2018-12-11</t>
  </si>
  <si>
    <t>RU-YAMAL-T4</t>
  </si>
  <si>
    <t>T4 (Arctic Cascade)</t>
  </si>
  <si>
    <t>2017-09-01</t>
  </si>
  <si>
    <t>2021-05-15</t>
  </si>
  <si>
    <t>Novatek portfolio</t>
  </si>
  <si>
    <t>Domestic technology pilot</t>
  </si>
  <si>
    <t>ID-BONTANG</t>
  </si>
  <si>
    <t>Indonesia</t>
  </si>
  <si>
    <t>Bontang LNG</t>
  </si>
  <si>
    <t>Pertamina/Total/Vico/Chevron</t>
  </si>
  <si>
    <t>T1-T8</t>
  </si>
  <si>
    <t>1970-01-01</t>
  </si>
  <si>
    <t>1977-08-09</t>
  </si>
  <si>
    <t>n/a</t>
  </si>
  <si>
    <t>East Kalimantan (declining)</t>
  </si>
  <si>
    <t>Legacy Japanese portfolio + domestic</t>
  </si>
  <si>
    <t>Pertamina</t>
  </si>
  <si>
    <t>Steep production decline; effective ~8 MTPA today</t>
  </si>
  <si>
    <t>ID-DONGGISENORO</t>
  </si>
  <si>
    <t>Donggi-Senoro LNG</t>
  </si>
  <si>
    <t>Mitsubishi/Pertamina/KOGAS/Medco</t>
  </si>
  <si>
    <t>2011-01-21</t>
  </si>
  <si>
    <t>2015-07-23</t>
  </si>
  <si>
    <t>Senoro/Matindok</t>
  </si>
  <si>
    <t>Chubu/KOGAS</t>
  </si>
  <si>
    <t>DSLNG</t>
  </si>
  <si>
    <t>ID-TANGGUH-T1</t>
  </si>
  <si>
    <t>Tangguh LNG</t>
  </si>
  <si>
    <t>BP/MI Berau/CNOOC/Inpex</t>
  </si>
  <si>
    <t>2005-03-01</t>
  </si>
  <si>
    <t>2009-06-15</t>
  </si>
  <si>
    <t>Wiriagar/Vorwata</t>
  </si>
  <si>
    <t>Sempra Costa Azul + Korea + China</t>
  </si>
  <si>
    <t>BP</t>
  </si>
  <si>
    <t>ID-TANGGUH-T2</t>
  </si>
  <si>
    <t>2009-09-15</t>
  </si>
  <si>
    <t>ID-TANGGUH-T3</t>
  </si>
  <si>
    <t>2016-07-01</t>
  </si>
  <si>
    <t>2023-10-11</t>
  </si>
  <si>
    <t>Y1:70%;Y2:90%</t>
  </si>
  <si>
    <t>PLN/portfolio</t>
  </si>
  <si>
    <t>MY-MLNG-9</t>
  </si>
  <si>
    <t>Malaysia</t>
  </si>
  <si>
    <t>MLNG 9 (Train 9)</t>
  </si>
  <si>
    <t>Petronas</t>
  </si>
  <si>
    <t>T9</t>
  </si>
  <si>
    <t>2017-01-10</t>
  </si>
  <si>
    <t>Sarawak</t>
  </si>
  <si>
    <t>Single mega-train</t>
  </si>
  <si>
    <t>MY-MLNG-1</t>
  </si>
  <si>
    <t>MLNG Bintulu Complex (legacy MLNG 1)</t>
  </si>
  <si>
    <t>T1-T3</t>
  </si>
  <si>
    <t>1978-01-01</t>
  </si>
  <si>
    <t>1983-12-31</t>
  </si>
  <si>
    <t>Japanese long-term portfolio</t>
  </si>
  <si>
    <t>Original MLNG; 3 trains</t>
  </si>
  <si>
    <t>MY-MLNG-2</t>
  </si>
  <si>
    <t>MLNG Dua</t>
  </si>
  <si>
    <t>T4-T6</t>
  </si>
  <si>
    <t>1995-12-31</t>
  </si>
  <si>
    <t>3 trains</t>
  </si>
  <si>
    <t>MY-MLNG-3</t>
  </si>
  <si>
    <t>MLNG Tiga</t>
  </si>
  <si>
    <t>T7-T8</t>
  </si>
  <si>
    <t>1999-01-01</t>
  </si>
  <si>
    <t>2003-04-01</t>
  </si>
  <si>
    <t>2 trains</t>
  </si>
  <si>
    <t>MY-PFLNG2</t>
  </si>
  <si>
    <t>PFLNG Dua</t>
  </si>
  <si>
    <t>2014-02-19</t>
  </si>
  <si>
    <t>2021-02-21</t>
  </si>
  <si>
    <t>Rotan field</t>
  </si>
  <si>
    <t>MY-PFLNG1</t>
  </si>
  <si>
    <t>PFLNG Satu</t>
  </si>
  <si>
    <t>2012-06-21</t>
  </si>
  <si>
    <t>2017-04-17</t>
  </si>
  <si>
    <t>Kanowit field</t>
  </si>
  <si>
    <t>World's first FLNG</t>
  </si>
  <si>
    <t>MR-SN-TORTUE</t>
  </si>
  <si>
    <t>Mauritania</t>
  </si>
  <si>
    <t>Tortue Ahmeyim FLNG Phase 1</t>
  </si>
  <si>
    <t>BP/Kosmos/SMHPM/PETROSEN</t>
  </si>
  <si>
    <t>2018-12-21</t>
  </si>
  <si>
    <t>2025-02-15</t>
  </si>
  <si>
    <t>Y1:60%;Y2:90%;Y3:100%</t>
  </si>
  <si>
    <t>GTA field shared MR/SN</t>
  </si>
  <si>
    <t>BP offtake</t>
  </si>
  <si>
    <t>BP press release Feb 2025; kosmosenergy.com; offshore-technology.com</t>
  </si>
  <si>
    <t>Nameplate corrected to 2.7 MTPA per Kosmos/Golar disclosures; ramped to ~90% (~2.4 MTPA) by mid-2025; COD confirmed by Kosmos per offshore-technology.com</t>
  </si>
  <si>
    <t>MZ-CORALSUL</t>
  </si>
  <si>
    <t>Mozambique</t>
  </si>
  <si>
    <t>Coral Sul FLNG</t>
  </si>
  <si>
    <t>Eni/ExxonMobil/CNPC/Galp/KOGAS/ENH</t>
  </si>
  <si>
    <t>2017-06-01</t>
  </si>
  <si>
    <t>2022-11-13</t>
  </si>
  <si>
    <t>Coral South gas field</t>
  </si>
  <si>
    <t>BP offtake long-term</t>
  </si>
  <si>
    <t>Ramped successfully despite security risks onshore</t>
  </si>
  <si>
    <t>NG-NLNG-T1-T2</t>
  </si>
  <si>
    <t>Nigeria</t>
  </si>
  <si>
    <t>Nigeria LNG</t>
  </si>
  <si>
    <t>NNPC/Shell/TotalEnergies/Eni</t>
  </si>
  <si>
    <t>1999-10-09</t>
  </si>
  <si>
    <t>Niger Delta</t>
  </si>
  <si>
    <t>NLNG</t>
  </si>
  <si>
    <t>Bonny Island</t>
  </si>
  <si>
    <t>NG-NLNG-T3</t>
  </si>
  <si>
    <t>2002-11-01</t>
  </si>
  <si>
    <t>NG-NLNG-T4-T5</t>
  </si>
  <si>
    <t>2005-11-01</t>
  </si>
  <si>
    <t>Mid-2000s expansion</t>
  </si>
  <si>
    <t>NG-NLNG-T6</t>
  </si>
  <si>
    <t>2004-01-01</t>
  </si>
  <si>
    <t>2007-12-01</t>
  </si>
  <si>
    <t>Feedgas curtailed by upstream security</t>
  </si>
  <si>
    <t>RU-ARCTIC2-T2</t>
  </si>
  <si>
    <t>Arctic LNG-2</t>
  </si>
  <si>
    <t>paused</t>
  </si>
  <si>
    <t>2019-09-05</t>
  </si>
  <si>
    <t>deferred</t>
  </si>
  <si>
    <t>Utrennoye</t>
  </si>
  <si>
    <t>None</t>
  </si>
  <si>
    <t>Argus</t>
  </si>
  <si>
    <t>Sanctioned; tow to site delayed</t>
  </si>
  <si>
    <t>RU-ARCTIC2-T3</t>
  </si>
  <si>
    <t>T3 construction halted</t>
  </si>
  <si>
    <t>TT-ATLANTIC-T1</t>
  </si>
  <si>
    <t>mothballed</t>
  </si>
  <si>
    <t>1999-04-16</t>
  </si>
  <si>
    <t>Legacy portfolio</t>
  </si>
  <si>
    <t>Mothballed amid feedgas decline</t>
  </si>
  <si>
    <t>RU-ARCTIC2-T1</t>
  </si>
  <si>
    <t>Novatek/CNPC/CNOOC/Mitsui/JOGMEC</t>
  </si>
  <si>
    <t>2024-01-15</t>
  </si>
  <si>
    <t>severely constrained</t>
  </si>
  <si>
    <t>Utrennoye field</t>
  </si>
  <si>
    <t>No formal offtake post-sanctions; Beihai terminal China sole buyer</t>
  </si>
  <si>
    <t>Reuters/Argus/Platts LNG Daily; bairdmaritime.com 2026-01; energyconnects.com Nov 2025; gcaptain.com Aug 2025</t>
  </si>
  <si>
    <t>Mothballed Oct 2024-Mar 2025 after loading ~10 unsold cargoes; deliveries to China (Beihai) began Aug 2025; 23 cargoes/1.3 Mt delivered to China in full-year 2025; first 2026 cargo discharged Jan 26 2026; output constrained by lack of Arc7 tankers; ~1.3 MTPA realized vs 6.6 MTPA nameplate; TotalEnergies exit approved by Putin Jun 2026</t>
  </si>
  <si>
    <t>US-PLAQUEMINES-P1</t>
  </si>
  <si>
    <t>Plaquemines LNG Phase 1</t>
  </si>
  <si>
    <t>Modular T1-T18 (Ph1)</t>
  </si>
  <si>
    <t>commissioning</t>
  </si>
  <si>
    <t>2022-05-25</t>
  </si>
  <si>
    <t>2024-12-26</t>
  </si>
  <si>
    <t>Shell/BP/PGNiG/EDF/CPC/Sinopec/ExxonMobil</t>
  </si>
  <si>
    <t>VG press release Dec 2024</t>
  </si>
  <si>
    <t>Phase 1 commissioning; ramp through 2026</t>
  </si>
  <si>
    <t>US-GOLDENPASS-T1</t>
  </si>
  <si>
    <t>Golden Pass LNG</t>
  </si>
  <si>
    <t>QatarEnergy/ExxonMobil</t>
  </si>
  <si>
    <t>2019-02-05</t>
  </si>
  <si>
    <t>2026-03-30</t>
  </si>
  <si>
    <t>Pipeline gas</t>
  </si>
  <si>
    <t>QatarEnergy/ExxonMobil offtake</t>
  </si>
  <si>
    <t>Operator releases + EIA; EIA eia.gov/todayinenergy id=67564; energyconnects.com Apr 2026</t>
  </si>
  <si>
    <t>First LNG 2026-03-30; first cargo shipped 2026-04-22; T1 in commissioning ramp; commercial ops declaration pending</t>
  </si>
  <si>
    <t>QA-QATARENERGY-NFE-T1</t>
  </si>
  <si>
    <t>North Field East</t>
  </si>
  <si>
    <t>QatarEnergy/Shell/TotalEnergies/ExxonMobil/ConocoPhillips/Eni</t>
  </si>
  <si>
    <t>2022-02-21</t>
  </si>
  <si>
    <t>2026-07-01</t>
  </si>
  <si>
    <t>Sinopec/CNPC/Shell/TotalEnergies/ExxonMobil long-term SPAs</t>
  </si>
  <si>
    <t>QatarEnergy/IEA; lngindustry.com May 2025; mees.com Dec 2025; themiddleeastinsider.com Apr 2026</t>
  </si>
  <si>
    <t>First LNG Nov 2025; pre-commissioning progressing; QatarEnergy targeting COD Q3 2026; slipped from Q1 2026 original target</t>
  </si>
  <si>
    <t>US-COSTAAZUL-T1</t>
  </si>
  <si>
    <t>Mexico</t>
  </si>
  <si>
    <t>Energía Costa Azul</t>
  </si>
  <si>
    <t>2020-11-17</t>
  </si>
  <si>
    <t>2026-09-30</t>
  </si>
  <si>
    <t>US Permian via piped gas</t>
  </si>
  <si>
    <t>Mitsui/TotalEnergies portfolio</t>
  </si>
  <si>
    <t>Sempra Q4 2024; woodmac.com May 2026; naturalgasintel.com May 2026</t>
  </si>
  <si>
    <t>Flaring detected May 24 2026 confirming early commissioning; gas intake ramping from Apr 2026; first cargo timeline stretched to Q3 2026 per Wood Mackenzie</t>
  </si>
  <si>
    <t>AU-PLUTO-T2</t>
  </si>
  <si>
    <t>construction</t>
  </si>
  <si>
    <t>2021-11-22</t>
  </si>
  <si>
    <t>2026-12-31</t>
  </si>
  <si>
    <t>Scarborough field</t>
  </si>
  <si>
    <t>Woodside; woodside.com 6-K FY2026; chemanalyst.com; offshore-technology.com</t>
  </si>
  <si>
    <t>Scarborough-fed; 96%+ complete (ex-T1 mods); all 51 modules at site; targeting Q4 2026 first LNG cargo; COD slipped modestly from 2026-09-30</t>
  </si>
  <si>
    <t>US-CORPUSCHRISTI-CC3</t>
  </si>
  <si>
    <t>Corpus Christi Stage 3</t>
  </si>
  <si>
    <t>Midscale T1-T7</t>
  </si>
  <si>
    <t>2022-06-22</t>
  </si>
  <si>
    <t>Portfolio + JERA Equinor TotalEnergies</t>
  </si>
  <si>
    <t>Cheniere press release Dec 2024; lngprime.com CC3 96.5% complete; naturalgasintel.com May 2026</t>
  </si>
  <si>
    <t>6 of 7 midscale trains producing LNG as of May 2026; T7 on track for fall 2026; full seven-train completion expected end-2026</t>
  </si>
  <si>
    <t>US-GOLDENPASS-T2</t>
  </si>
  <si>
    <t>Operator releases; naturalgasintel.com ExxonMobil Q1 2026 earnings</t>
  </si>
  <si>
    <t>Mechanical completion expected end-2026; COD Q4 2026 per ExxonMobil Q1 2026 earnings call</t>
  </si>
  <si>
    <t>NG-NLNG-T7</t>
  </si>
  <si>
    <t>2019-12-20</t>
  </si>
  <si>
    <t>Expansion train</t>
  </si>
  <si>
    <t>US-GOLDENPASS-T3</t>
  </si>
  <si>
    <t>2027-03-31</t>
  </si>
  <si>
    <t>Operator releases; naturalgasintel.com ExxonMobil Q1 2026</t>
  </si>
  <si>
    <t>T3 now targeted Q1 2027 per ExxonMobil Q1 2026 earnings; pulled in from 2027-12-31</t>
  </si>
  <si>
    <t>QA-QATARENERGY-NFE-T2</t>
  </si>
  <si>
    <t>2027-04-30</t>
  </si>
  <si>
    <t>US-PLAQUEMINES-P2</t>
  </si>
  <si>
    <t>Plaquemines LNG Phase 2</t>
  </si>
  <si>
    <t>Modular Ph2</t>
  </si>
  <si>
    <t>2023-03-29</t>
  </si>
  <si>
    <t>2027-06-30</t>
  </si>
  <si>
    <t>Same portfolio</t>
  </si>
  <si>
    <t>VG releases 2024; FERC extension request to 2027-12-31 filed Sep 2025; naturalgasintel.com</t>
  </si>
  <si>
    <t>VG sought FERC extension to Dec 2027; Phase 2 now targeting mid-2027 in-service; Phase 1 expected commercial ops Q4 2026</t>
  </si>
  <si>
    <t>QA-QATARENERGY-NFE-T3</t>
  </si>
  <si>
    <t>2027-09-30</t>
  </si>
  <si>
    <t>US-PORTARTHUR-T1</t>
  </si>
  <si>
    <t>Port Arthur LNG Phase 1</t>
  </si>
  <si>
    <t>2023-03-20</t>
  </si>
  <si>
    <t>KOGAS/ConocoPhillips/RWE/PKN Orlen/INEOS</t>
  </si>
  <si>
    <t>Sempra press releases</t>
  </si>
  <si>
    <t>US-RIOGRANDE-T1</t>
  </si>
  <si>
    <t>Rio Grande LNG</t>
  </si>
  <si>
    <t>NextDecade</t>
  </si>
  <si>
    <t>2023-07-12</t>
  </si>
  <si>
    <t>Y1:50%;Y2:80%;Y3:100%</t>
  </si>
  <si>
    <t>Permian</t>
  </si>
  <si>
    <t>TotalEnergies/Shell/ENN/Galp/Itochu/Guangdong portfolio</t>
  </si>
  <si>
    <t>NextDecade press release</t>
  </si>
  <si>
    <t>Phase 1 FID July 2023</t>
  </si>
  <si>
    <t>QA-QATARENERGY-NFE-T4</t>
  </si>
  <si>
    <t>2027-12-31</t>
  </si>
  <si>
    <t>CA-WOODFIBRE</t>
  </si>
  <si>
    <t>Woodfibre LNG</t>
  </si>
  <si>
    <t>Pacific Energy/Enbridge</t>
  </si>
  <si>
    <t>2023-09-15</t>
  </si>
  <si>
    <t>Montney via pipeline</t>
  </si>
  <si>
    <t>Woodfibre Press</t>
  </si>
  <si>
    <t>Squamish BC</t>
  </si>
  <si>
    <t>US-PORTARTHUR-T2</t>
  </si>
  <si>
    <t>2028-03-31</t>
  </si>
  <si>
    <t>Sempra</t>
  </si>
  <si>
    <t>US-RIOGRANDE-T2</t>
  </si>
  <si>
    <t>MX-SAGUARO-T1</t>
  </si>
  <si>
    <t>Saguaro Energía LNG</t>
  </si>
  <si>
    <t>Mexico Pacific</t>
  </si>
  <si>
    <t>2024-09-04</t>
  </si>
  <si>
    <t>2028-06-30</t>
  </si>
  <si>
    <t>Permian via pipeline</t>
  </si>
  <si>
    <t>Shell/Woodside/ConocoPhillips/Zhejiang</t>
  </si>
  <si>
    <t>MPL press release</t>
  </si>
  <si>
    <t>FID achieved 2024; Sonora coast</t>
  </si>
  <si>
    <t>QA-QATARENERGY-NFS-T1</t>
  </si>
  <si>
    <t>North Field South</t>
  </si>
  <si>
    <t>QatarEnergy/Shell/TotalEnergies/ConocoPhillips</t>
  </si>
  <si>
    <t>2023-10-23</t>
  </si>
  <si>
    <t>2028-12-31</t>
  </si>
  <si>
    <t>Same JV partners; portfolio</t>
  </si>
  <si>
    <t>NFS Phase 2 of expansion</t>
  </si>
  <si>
    <t>CA-CEDAR</t>
  </si>
  <si>
    <t>Cedar LNG</t>
  </si>
  <si>
    <t>Pembina Pipeline/Haisla Nation</t>
  </si>
  <si>
    <t>2024-06-25</t>
  </si>
  <si>
    <t>Western Canadian</t>
  </si>
  <si>
    <t>ARC Energy/Pembina offtake</t>
  </si>
  <si>
    <t>Pembina 2024 FID</t>
  </si>
  <si>
    <t>FLNG Kitimat</t>
  </si>
  <si>
    <t>US-RIOGRANDE-T3</t>
  </si>
  <si>
    <t>2024-06-21</t>
  </si>
  <si>
    <t>NextDecade 2024 FID</t>
  </si>
  <si>
    <t>T3 FID 2024</t>
  </si>
  <si>
    <t>QA-QATARENERGY-NFS-T2</t>
  </si>
  <si>
    <t>2029-06-30</t>
  </si>
  <si>
    <t>MZ-MOZAMBIQUE-LNG-T1</t>
  </si>
  <si>
    <t>Mozambique LNG</t>
  </si>
  <si>
    <t>TotalEnergies/Mitsui/Bharat/ONGC/PTTEP</t>
  </si>
  <si>
    <t>2019-06-18</t>
  </si>
  <si>
    <t>2029-12-31</t>
  </si>
  <si>
    <t>Area 1 (Golfinho-Atum)</t>
  </si>
  <si>
    <t>Asian utility portfolio</t>
  </si>
  <si>
    <t>TotalEnergies; totalenergies.com Jan 2026 press release; aljazeera.com 2026-01-29</t>
  </si>
  <si>
    <t>FM lifted Nov 7 2025; full restart announced Jan 29 2026; construction restarted; 40% progress; first LNG now targeted 2029; 4000+ workers mobilised</t>
  </si>
  <si>
    <t>MZ-MOZAMBIQUE-LNG-T2</t>
  </si>
  <si>
    <t>2030-06-30</t>
  </si>
  <si>
    <t>Area 1</t>
  </si>
  <si>
    <t>TotalEnergies; totalenergies.com Jan 2026</t>
  </si>
  <si>
    <t>FM lifted with T1; T2 restart concurrent; first LNG 2029-2030 range</t>
  </si>
  <si>
    <t>MZ-ROVUMA-T1</t>
  </si>
  <si>
    <t>Rovuma LNG</t>
  </si>
  <si>
    <t>ExxonMobil(op)/Eni/CNPC(MRV 70%); ENH 10%; ADNOC/XRG 10%; KOGAS 10%</t>
  </si>
  <si>
    <t>planned</t>
  </si>
  <si>
    <t>2030-12-31</t>
  </si>
  <si>
    <t>Area 4 Rovuma Basin offshore (Mamba complex)</t>
  </si>
  <si>
    <t>No signed offtake; LOIs reported with Asian utilities</t>
  </si>
  <si>
    <t>ExxonMobil corporate.exxonmobil.com/locations/mozambique/rovuma-lng; Technip Energies/JGC FEED award jgc.com Sep 2024; 360mozambique.com Jun 2026; offshore-energy.biz; furtherafrica.com Nov 2025</t>
  </si>
  <si>
    <t>FID targeted H2 2026 per Mozambique govt and ExxonMobil; not yet confirmed as of 2026-06-22; FM lifted Nov 20 2025; FEED (Technip Energies + JGC) awarded Sep 2024 ~16-month duration; revised development plan filed Apr 2026 featuring 12 modular electric-driven trains of 1.5 MTPA (grouped as 2 x 9 MTPA processing trains here); start_date is 2030 target — high uncertainty flagged; ADNOC/XRG replaced Galp (completed Mar 2025 for $881M); project cost ~$30B</t>
  </si>
  <si>
    <t>MZ-ROVUMA-T2</t>
  </si>
  <si>
    <t>2031-12-31</t>
  </si>
  <si>
    <t>ExxonMobil corporate.exxonmobil.com/locations/mozambique/rovuma-lng; 360mozambique.com Jun 2026; offshore-energy.biz; furtherafrica.com Nov 2025</t>
  </si>
  <si>
    <t>Second train group; start_date 2031 is speculative extrapolation from 2030 T1 target — no operator public guidance for T2 separately; contingent on T1 ramp and FID confirmation</t>
  </si>
  <si>
    <t>Type</t>
  </si>
  <si>
    <t>Send-out (Bcm/y)</t>
  </si>
  <si>
    <t>Send-out (MTPA)</t>
  </si>
  <si>
    <t>Storage (m³ LNG)</t>
  </si>
  <si>
    <t>Start</t>
  </si>
  <si>
    <t>Reload?</t>
  </si>
  <si>
    <t>CN-CAOFEIDIAN</t>
  </si>
  <si>
    <t>China</t>
  </si>
  <si>
    <t>East Asia</t>
  </si>
  <si>
    <t>Caofeidian</t>
  </si>
  <si>
    <t>PetroChina</t>
  </si>
  <si>
    <t>onshore</t>
  </si>
  <si>
    <t>2013-11-23</t>
  </si>
  <si>
    <t>yes</t>
  </si>
  <si>
    <t>CN-DAPENG</t>
  </si>
  <si>
    <t>Dapeng (Shenzhen)</t>
  </si>
  <si>
    <t>CNOOC</t>
  </si>
  <si>
    <t>2006-06-26</t>
  </si>
  <si>
    <t>First mainland China LNG terminal</t>
  </si>
  <si>
    <t>CN-PUTIAN</t>
  </si>
  <si>
    <t>Putian (Fujian)</t>
  </si>
  <si>
    <t>2008-05-01</t>
  </si>
  <si>
    <t>CN-QINGDAO</t>
  </si>
  <si>
    <t>Qingdao</t>
  </si>
  <si>
    <t>2014-11-15</t>
  </si>
  <si>
    <t>CN-TANGSHAN</t>
  </si>
  <si>
    <t>Tangshan</t>
  </si>
  <si>
    <t>2014-11-04</t>
  </si>
  <si>
    <t>CN-TIANJIN</t>
  </si>
  <si>
    <t>Tianjin Nangang</t>
  </si>
  <si>
    <t>2013-11-15</t>
  </si>
  <si>
    <t>Strategic location for north China</t>
  </si>
  <si>
    <t>CN-YANGSHAN</t>
  </si>
  <si>
    <t>Yangshan Shanghai</t>
  </si>
  <si>
    <t>CNOOC/Shenergy</t>
  </si>
  <si>
    <t>2009-10-01</t>
  </si>
  <si>
    <t>JP-CHITA</t>
  </si>
  <si>
    <t>Japan</t>
  </si>
  <si>
    <t>Chita Joint Works</t>
  </si>
  <si>
    <t>Toho Gas/Chubu Electric</t>
  </si>
  <si>
    <t>1977-12-01</t>
  </si>
  <si>
    <t>Toho Gas</t>
  </si>
  <si>
    <t>Multi-operator complex</t>
  </si>
  <si>
    <t>JP-FUTTSU</t>
  </si>
  <si>
    <t>Futtsu</t>
  </si>
  <si>
    <t>TEPCO/Chubu</t>
  </si>
  <si>
    <t>1985-04-01</t>
  </si>
  <si>
    <t>Japan METI</t>
  </si>
  <si>
    <t>Largest single LNG terminal globally</t>
  </si>
  <si>
    <t>JP-HIGASHIOHGISHIMA</t>
  </si>
  <si>
    <t>Higashi-Ohgishima</t>
  </si>
  <si>
    <t>TEPCO</t>
  </si>
  <si>
    <t>1984-08-01</t>
  </si>
  <si>
    <t>METI</t>
  </si>
  <si>
    <t>JP-NEGISHI</t>
  </si>
  <si>
    <t>Negishi</t>
  </si>
  <si>
    <t>Tokyo Gas/TEPCO</t>
  </si>
  <si>
    <t>1969-10-01</t>
  </si>
  <si>
    <t>Tokyo Gas</t>
  </si>
  <si>
    <t>Oldest commercial LNG terminal in Japan</t>
  </si>
  <si>
    <t>JP-OHGISHIMA</t>
  </si>
  <si>
    <t>Ohgishima</t>
  </si>
  <si>
    <t>1998-04-01</t>
  </si>
  <si>
    <t>JP-SENBOKU2</t>
  </si>
  <si>
    <t>Senboku II</t>
  </si>
  <si>
    <t>Osaka Gas</t>
  </si>
  <si>
    <t>1972-04-01</t>
  </si>
  <si>
    <t>JP-SODEGAURA</t>
  </si>
  <si>
    <t>Sodegaura</t>
  </si>
  <si>
    <t>1973-09-01</t>
  </si>
  <si>
    <t>JP-YOKKAICHI</t>
  </si>
  <si>
    <t>Yokkaichi</t>
  </si>
  <si>
    <t>Chubu Electric</t>
  </si>
  <si>
    <t>1988-02-01</t>
  </si>
  <si>
    <t>Chubu</t>
  </si>
  <si>
    <t>KR-BORYEONG</t>
  </si>
  <si>
    <t>South Korea</t>
  </si>
  <si>
    <t>Boryeong</t>
  </si>
  <si>
    <t>SK E&amp;S/GS Energy</t>
  </si>
  <si>
    <t>2017-01-01</t>
  </si>
  <si>
    <t>SK E&amp;S</t>
  </si>
  <si>
    <t>Private; supplies SK power plants</t>
  </si>
  <si>
    <t>KR-GWANGYANG</t>
  </si>
  <si>
    <t>Gwangyang</t>
  </si>
  <si>
    <t>POSCO</t>
  </si>
  <si>
    <t>2005-10-01</t>
  </si>
  <si>
    <t>no</t>
  </si>
  <si>
    <t>KR-INCHEON</t>
  </si>
  <si>
    <t>Incheon</t>
  </si>
  <si>
    <t>KOGAS</t>
  </si>
  <si>
    <t>1996-10-01</t>
  </si>
  <si>
    <t>KR-PYEONGTAEK</t>
  </si>
  <si>
    <t>Pyeongtaek</t>
  </si>
  <si>
    <t>1986-11-01</t>
  </si>
  <si>
    <t>KOGAS' largest</t>
  </si>
  <si>
    <t>KR-SAMCHEOK</t>
  </si>
  <si>
    <t>Samcheok</t>
  </si>
  <si>
    <t>2014-07-01</t>
  </si>
  <si>
    <t>KR-TONGYEONG</t>
  </si>
  <si>
    <t>Tongyeong</t>
  </si>
  <si>
    <t>2002-06-01</t>
  </si>
  <si>
    <t>TW-TAICHUNG</t>
  </si>
  <si>
    <t>Taiwan</t>
  </si>
  <si>
    <t>Taichung</t>
  </si>
  <si>
    <t>CPC Corporation</t>
  </si>
  <si>
    <t>2009-03-01</t>
  </si>
  <si>
    <t>CPC</t>
  </si>
  <si>
    <t>TW-YUNGAN</t>
  </si>
  <si>
    <t>Yung-An</t>
  </si>
  <si>
    <t>1990-03-01</t>
  </si>
  <si>
    <t>BE-ZEEBRUGGE</t>
  </si>
  <si>
    <t>Belgium</t>
  </si>
  <si>
    <t>Zeebrugge</t>
  </si>
  <si>
    <t>Fluxys</t>
  </si>
  <si>
    <t>1987-03-01</t>
  </si>
  <si>
    <t>HR-KRK</t>
  </si>
  <si>
    <t>Croatia</t>
  </si>
  <si>
    <t>LNG Croatia (Krk)</t>
  </si>
  <si>
    <t>LNG Hrvatska</t>
  </si>
  <si>
    <t>FSRU</t>
  </si>
  <si>
    <t>2021-01-01</t>
  </si>
  <si>
    <t>Expanding to 8.4 BCm/y</t>
  </si>
  <si>
    <t>FR-DUNKIRK</t>
  </si>
  <si>
    <t>France</t>
  </si>
  <si>
    <t>Dunkirk LNG</t>
  </si>
  <si>
    <t>Dunkerque LNG (Fluxys/Total)</t>
  </si>
  <si>
    <t>Dunkerque LNG</t>
  </si>
  <si>
    <t>FR-FOSCAVAOU</t>
  </si>
  <si>
    <t>Fos Cavaou</t>
  </si>
  <si>
    <t>Elengy/TotalEnergies</t>
  </si>
  <si>
    <t>2010-03-01</t>
  </si>
  <si>
    <t>Elengy</t>
  </si>
  <si>
    <t>FR-FOSTONKIN</t>
  </si>
  <si>
    <t>Fos Tonkin</t>
  </si>
  <si>
    <t>1972-06-01</t>
  </si>
  <si>
    <t>FR-MONTOIR</t>
  </si>
  <si>
    <t>Montoir-de-Bretagne</t>
  </si>
  <si>
    <t>1980-03-01</t>
  </si>
  <si>
    <t>DE-BRUNSBUTTEL-FSRU</t>
  </si>
  <si>
    <t>Germany</t>
  </si>
  <si>
    <t>Brunsbüttel FSRU</t>
  </si>
  <si>
    <t>DET/RWE</t>
  </si>
  <si>
    <t>2023-01-20</t>
  </si>
  <si>
    <t>DET</t>
  </si>
  <si>
    <t>DE-MUKRAN-FSRU</t>
  </si>
  <si>
    <t>Mukran FSRU</t>
  </si>
  <si>
    <t>DET/Deutsche ReGas</t>
  </si>
  <si>
    <t>2024-03-15</t>
  </si>
  <si>
    <t>2 FSRUs at Rügen</t>
  </si>
  <si>
    <t>DE-WILHELMSHAVEN-FSRU</t>
  </si>
  <si>
    <t>Wilhelmshaven 1 FSRU</t>
  </si>
  <si>
    <t>DET/Uniper</t>
  </si>
  <si>
    <t>2022-12-21</t>
  </si>
  <si>
    <t>Uniper/DET</t>
  </si>
  <si>
    <t>Germany's first LNG terminal</t>
  </si>
  <si>
    <t>GR-ALEXANDROUPOLIS</t>
  </si>
  <si>
    <t>Greece</t>
  </si>
  <si>
    <t>Alexandroupolis FSRU</t>
  </si>
  <si>
    <t>Gastrade</t>
  </si>
  <si>
    <t>2024-10-01</t>
  </si>
  <si>
    <t>Strategic for Balkans</t>
  </si>
  <si>
    <t>GR-REVITHOUSSA</t>
  </si>
  <si>
    <t>Revithoussa</t>
  </si>
  <si>
    <t>DESFA</t>
  </si>
  <si>
    <t>2000-02-01</t>
  </si>
  <si>
    <t>IT-ROVIGO</t>
  </si>
  <si>
    <t>Italy</t>
  </si>
  <si>
    <t>Adriatic LNG (Rovigo)</t>
  </si>
  <si>
    <t>ExxonMobil/QatarEnergy/Snam</t>
  </si>
  <si>
    <t>Adriatic LNG</t>
  </si>
  <si>
    <t>Offshore GBS</t>
  </si>
  <si>
    <t>IT-PANIGAGLIA</t>
  </si>
  <si>
    <t>Panigaglia</t>
  </si>
  <si>
    <t>Snam</t>
  </si>
  <si>
    <t>1971-01-01</t>
  </si>
  <si>
    <t>IT-PIOMBINO-FSRU</t>
  </si>
  <si>
    <t>Piombino FSRU (Italis LNG)</t>
  </si>
  <si>
    <t>2023-05-17</t>
  </si>
  <si>
    <t>Will relocate to Ravenna 2026</t>
  </si>
  <si>
    <t>LT-KLAIPEDA</t>
  </si>
  <si>
    <t>Lithuania</t>
  </si>
  <si>
    <t>Klaipėda FSRU (Independence)</t>
  </si>
  <si>
    <t>KN Energies</t>
  </si>
  <si>
    <t>2014-10-27</t>
  </si>
  <si>
    <t>Baltic strategic terminal</t>
  </si>
  <si>
    <t>NL-EEMSHAVEN-FSRU</t>
  </si>
  <si>
    <t>Netherlands</t>
  </si>
  <si>
    <t>Eemshaven LNG (EemsEnergy)</t>
  </si>
  <si>
    <t>Gasunie/Vopak</t>
  </si>
  <si>
    <t>2022-09-15</t>
  </si>
  <si>
    <t>Gasunie</t>
  </si>
  <si>
    <t>2 FSRUs; built in 6 months in response to 2022 crisis</t>
  </si>
  <si>
    <t>NL-GATE</t>
  </si>
  <si>
    <t>Gate Rotterdam</t>
  </si>
  <si>
    <t>Vopak/Gasunie</t>
  </si>
  <si>
    <t>2011-09-01</t>
  </si>
  <si>
    <t>Gate Terminal</t>
  </si>
  <si>
    <t>Expansion to 20+ bcm/y in progress</t>
  </si>
  <si>
    <t>PL-SWINOUJSCIE</t>
  </si>
  <si>
    <t>Poland</t>
  </si>
  <si>
    <t>Świnoujście</t>
  </si>
  <si>
    <t>Gaz-System</t>
  </si>
  <si>
    <t>2015-12-12</t>
  </si>
  <si>
    <t>Expansion to ~10 BCm/y</t>
  </si>
  <si>
    <t>ES-BARCELONA</t>
  </si>
  <si>
    <t>Spain</t>
  </si>
  <si>
    <t>Barcelona</t>
  </si>
  <si>
    <t>Enagás</t>
  </si>
  <si>
    <t>1969-03-01</t>
  </si>
  <si>
    <t>Europe's oldest</t>
  </si>
  <si>
    <t>ES-BILBAO</t>
  </si>
  <si>
    <t>Bilbao (Bahía de Bizkaia)</t>
  </si>
  <si>
    <t>BBG</t>
  </si>
  <si>
    <t>2003-08-01</t>
  </si>
  <si>
    <t>ES-CARTAGENA</t>
  </si>
  <si>
    <t>Cartagena</t>
  </si>
  <si>
    <t>ES-ELMUSEL</t>
  </si>
  <si>
    <t>El Musel</t>
  </si>
  <si>
    <t>2023-03-30</t>
  </si>
  <si>
    <t>Activated 2023 after years dormant; storage hub</t>
  </si>
  <si>
    <t>ES-HUELVA</t>
  </si>
  <si>
    <t>Huelva</t>
  </si>
  <si>
    <t>1988-08-01</t>
  </si>
  <si>
    <t>ES-MUGARDOS</t>
  </si>
  <si>
    <t>Mugardos</t>
  </si>
  <si>
    <t>Reganosa</t>
  </si>
  <si>
    <t>2007-06-01</t>
  </si>
  <si>
    <t>Galicia</t>
  </si>
  <si>
    <t>ES-SAGUNTO</t>
  </si>
  <si>
    <t>Sagunto</t>
  </si>
  <si>
    <t>Saggas/Enagás</t>
  </si>
  <si>
    <t>2006-04-01</t>
  </si>
  <si>
    <t>TR-DORTYOL-FSRU</t>
  </si>
  <si>
    <t>Türkiye</t>
  </si>
  <si>
    <t>Dörtyol FSRU</t>
  </si>
  <si>
    <t>BOTAS</t>
  </si>
  <si>
    <t>2018-02-01</t>
  </si>
  <si>
    <t>TR-MARMARAEREGLISI</t>
  </si>
  <si>
    <t>Marmara Ereğlisi</t>
  </si>
  <si>
    <t>1994-01-01</t>
  </si>
  <si>
    <t>GB-DRAGON</t>
  </si>
  <si>
    <t>United Kingdom</t>
  </si>
  <si>
    <t>Dragon LNG</t>
  </si>
  <si>
    <t>Shell/Ancala</t>
  </si>
  <si>
    <t>2009-08-01</t>
  </si>
  <si>
    <t>Milford Haven</t>
  </si>
  <si>
    <t>GB-ISLEOFGRAIN</t>
  </si>
  <si>
    <t>Isle of Grain</t>
  </si>
  <si>
    <t>National Grid Grain LNG</t>
  </si>
  <si>
    <t>2005-07-01</t>
  </si>
  <si>
    <t>National Grid</t>
  </si>
  <si>
    <t>UK's largest</t>
  </si>
  <si>
    <t>GB-SOUTHHOOK</t>
  </si>
  <si>
    <t>South Hook</t>
  </si>
  <si>
    <t>QatarEnergy/ExxonMobil/TotalEnergies</t>
  </si>
  <si>
    <t>South Hook LNG</t>
  </si>
  <si>
    <t>AR-ESCOBAR</t>
  </si>
  <si>
    <t>Argentina</t>
  </si>
  <si>
    <t>Escobar FSRU</t>
  </si>
  <si>
    <t>Excelerate/Enarsa</t>
  </si>
  <si>
    <t>2011-06-01</t>
  </si>
  <si>
    <t>Excelerate</t>
  </si>
  <si>
    <t>Seasonal high winter use</t>
  </si>
  <si>
    <t>BR-GUANABARA</t>
  </si>
  <si>
    <t>Brazil</t>
  </si>
  <si>
    <t>Guanabara Bay FSRU</t>
  </si>
  <si>
    <t>Petrobras</t>
  </si>
  <si>
    <t>2014-01-01</t>
  </si>
  <si>
    <t>Replaced original FSRU</t>
  </si>
  <si>
    <t>BR-PECEM</t>
  </si>
  <si>
    <t>Pecem FSRU</t>
  </si>
  <si>
    <t>2008-12-01</t>
  </si>
  <si>
    <t>Ceará</t>
  </si>
  <si>
    <t>MX-MANZANILLO</t>
  </si>
  <si>
    <t>Manzanillo</t>
  </si>
  <si>
    <t>KMS LNG (Mitsui/Samsung/KOGAS)</t>
  </si>
  <si>
    <t>2012-03-01</t>
  </si>
  <si>
    <t>KMS</t>
  </si>
  <si>
    <t>SG-SLNG</t>
  </si>
  <si>
    <t>Singapore</t>
  </si>
  <si>
    <t>Singapore LNG Terminal</t>
  </si>
  <si>
    <t>SLNG Corp</t>
  </si>
  <si>
    <t>2013-05-07</t>
  </si>
  <si>
    <t>SLNG</t>
  </si>
  <si>
    <t>Expansion to 11+ BCm/y</t>
  </si>
  <si>
    <t>IN-DAHEJ</t>
  </si>
  <si>
    <t>India</t>
  </si>
  <si>
    <t>South Asia</t>
  </si>
  <si>
    <t>Dahej</t>
  </si>
  <si>
    <t>Petronet LNG</t>
  </si>
  <si>
    <t>2004-04-01</t>
  </si>
  <si>
    <t>Petronet</t>
  </si>
  <si>
    <t>India's largest regas</t>
  </si>
  <si>
    <t>IN-DHAMRA</t>
  </si>
  <si>
    <t>Dhamra</t>
  </si>
  <si>
    <t>Adani/TotalEnergies</t>
  </si>
  <si>
    <t>2024-04-01</t>
  </si>
  <si>
    <t>Adani</t>
  </si>
  <si>
    <t>Odisha; commissioned Apr 2024</t>
  </si>
  <si>
    <t>IN-ENNORE</t>
  </si>
  <si>
    <t>Ennore</t>
  </si>
  <si>
    <t>IOCL/TIDCO</t>
  </si>
  <si>
    <t>2019-03-01</t>
  </si>
  <si>
    <t>IOCL</t>
  </si>
  <si>
    <t>Tamil Nadu</t>
  </si>
  <si>
    <t>IN-HAZIRA</t>
  </si>
  <si>
    <t>Hazira</t>
  </si>
  <si>
    <t>Shell/TotalEnergies</t>
  </si>
  <si>
    <t>2005-04-01</t>
  </si>
  <si>
    <t>IN-KOCHI</t>
  </si>
  <si>
    <t>Kochi</t>
  </si>
  <si>
    <t>2013-08-01</t>
  </si>
  <si>
    <t>Underutilized; pipeline-constrained</t>
  </si>
  <si>
    <t>IN-MUNDRA</t>
  </si>
  <si>
    <t>Mundra</t>
  </si>
  <si>
    <t>Adani/IOCL</t>
  </si>
  <si>
    <t>2020-04-01</t>
  </si>
  <si>
    <t>PK-PAKISTAN-GASPORT</t>
  </si>
  <si>
    <t>Pakistan</t>
  </si>
  <si>
    <t>Pakistan GasPort FSRU</t>
  </si>
  <si>
    <t>PGPL</t>
  </si>
  <si>
    <t>2018-01-15</t>
  </si>
  <si>
    <t>PK-PORT-QASIM</t>
  </si>
  <si>
    <t>Port Qasim FSRU (Engro)</t>
  </si>
  <si>
    <t>Engro Elengy/ETPL</t>
  </si>
  <si>
    <t>2015-03-28</t>
  </si>
  <si>
    <t>Engro</t>
  </si>
  <si>
    <t>CN-WENZHOU</t>
  </si>
  <si>
    <t>Wenzhou</t>
  </si>
  <si>
    <t>Phase 1 expected late 2026</t>
  </si>
  <si>
    <t>DE-STADE-ONSHORE</t>
  </si>
  <si>
    <t>Stade</t>
  </si>
  <si>
    <t>Hanseatic Energy Hub</t>
  </si>
  <si>
    <t>HEH</t>
  </si>
  <si>
    <t>Replaces FSRU(s) when COD</t>
  </si>
  <si>
    <t>Year</t>
  </si>
  <si>
    <t>Additions — operational record (MTPA)</t>
  </si>
  <si>
    <t>Additions — upcoming (MTPA)</t>
  </si>
  <si>
    <t>Total additions (MTPA)</t>
  </si>
  <si>
    <t>Cumulative since first year (MTPA)</t>
  </si>
  <si>
    <t>Disruption ID</t>
  </si>
  <si>
    <t>End</t>
  </si>
  <si>
    <t>Impact (MTPA)</t>
  </si>
  <si>
    <t>Description</t>
  </si>
  <si>
    <t>SNOHVIT-FIRE-2020</t>
  </si>
  <si>
    <t>unplanned_outage</t>
  </si>
  <si>
    <t>2020-09-28</t>
  </si>
  <si>
    <t>2022-06-02</t>
  </si>
  <si>
    <t>Equinor Hammerfest LNG fire 2020; ~20 months full outage; full restart June 2022</t>
  </si>
  <si>
    <t>Equinor + GIIGNL</t>
  </si>
  <si>
    <t>MZ-FORCE-MAJEURE-2021</t>
  </si>
  <si>
    <t>force_majeure</t>
  </si>
  <si>
    <t>2021-04-26</t>
  </si>
  <si>
    <t>2025-11-07</t>
  </si>
  <si>
    <t>TotalEnergies declared FM after Palma insurgent attack; FM formally lifted by consortium 2025-11-07; full restart announced Jan 29 2026; construction resumed</t>
  </si>
  <si>
    <t>TotalEnergies + GIIGNL; totalenergies.com Jan 2026 press release</t>
  </si>
  <si>
    <t>Same incident; FM lifted concurrently with T1</t>
  </si>
  <si>
    <t>GORGON-T2-PROPANE-2021</t>
  </si>
  <si>
    <t>maintenance</t>
  </si>
  <si>
    <t>2021-05-01</t>
  </si>
  <si>
    <t>2021-08-15</t>
  </si>
  <si>
    <t>Propane line crack repair; extended unplanned maintenance</t>
  </si>
  <si>
    <t>Chevron + ICIS</t>
  </si>
  <si>
    <t>FREEPORT-FIRE-2022</t>
  </si>
  <si>
    <t>2022-06-08</t>
  </si>
  <si>
    <t>2023-02-13</t>
  </si>
  <si>
    <t>Quintana Island liquefaction plant explosion forced full shutdown June 2022; partial restart Feb 2023; full restoration mid-2023</t>
  </si>
  <si>
    <t>Freeport LNG press releases + FERC + Platts LNG Daily</t>
  </si>
  <si>
    <t>Same incident — all three trains taken offline</t>
  </si>
  <si>
    <t>Same incident</t>
  </si>
  <si>
    <t>EG-DOMESTIC-CURTAIL-2022</t>
  </si>
  <si>
    <t>2022-07-01</t>
  </si>
  <si>
    <t>2024-09-01</t>
  </si>
  <si>
    <t>Egyptian government redirected gas to power generation amid domestic shortage; Damietta intermittent throughout 2022-2024</t>
  </si>
  <si>
    <t>Eni + Argus</t>
  </si>
  <si>
    <t>Same domestic curtailment; one train idled for periods</t>
  </si>
  <si>
    <t>Shell + Argus</t>
  </si>
  <si>
    <t>ARCTIC2-SANCTIONS</t>
  </si>
  <si>
    <t>sanctions</t>
  </si>
  <si>
    <t>2023-11-02</t>
  </si>
  <si>
    <t>US OFAC SDN designation Nov 2023; mothballed Oct 2024-Mar 2025 after ~10 unsold cargoes; deliveries to China began Aug 2025; 23 cargoes / 1.3 Mt delivered in 2025; realized throughput ~1.3 MTPA vs 6.6 MTPA nameplate; capacity_impact revised to 5.3 (= 6.6 - 1.3 realized); Arc7 tanker shortage remains primary constraint; TotalEnergies exit approved Jun 2026</t>
  </si>
  <si>
    <t>US Treasury OFAC + Argus + Reuters + Platts LNG Daily; bairdmaritime.com Jan 2026; energyconnects.com Nov 2025; gcaptain.com Aug 2025; highnorthnews.com</t>
  </si>
  <si>
    <t>ARCTIC2-T2-PAUSE</t>
  </si>
  <si>
    <t>delay</t>
  </si>
  <si>
    <t>2024-01-01</t>
  </si>
  <si>
    <t>Tow to site delayed; LNG carriers under sanction; effective indefinite pause</t>
  </si>
  <si>
    <t>Argus + Reuters + Platts LNG Daily</t>
  </si>
  <si>
    <t>ARCTIC2-T3-PAUSE</t>
  </si>
  <si>
    <t>Construction halted at module yard; no realistic delivery before 2028</t>
  </si>
  <si>
    <t>GOLDENPASS-CONTRACTOR-2024</t>
  </si>
  <si>
    <t>2024-04-15</t>
  </si>
  <si>
    <t>Zachry bankruptcy filing forced contractor reshuffle; project pushed from 2024 to 2H 2026; resolved — first LNG achieved 2026-03-30; first cargo exported 2026-04-22</t>
  </si>
  <si>
    <t>Reuters + SEC filings + Platts LNG Daily; eia.gov id=67564; energyconnects.com Apr 2026</t>
  </si>
  <si>
    <t>PLAQUEMINES-OFFTAKE-DISPUTE</t>
  </si>
  <si>
    <t>2024-06-01</t>
  </si>
  <si>
    <t>Venture Global commercial-ops dispute with long-term offtakers; cargoes sold at spot until contract activation; Phase 1 commercial deliveries now expected Q4 2026; BP won ICC arbitration finding VG breached COD obligations; Edison dispute settled Mar 2026; other cases ongoing</t>
  </si>
  <si>
    <t>Reuters + offtaker complaints + Platts LNG Daily; argusmedia.com; ogj.com; SEC 8-K VG 2026</t>
  </si>
  <si>
    <t>TORTUE-RAMP-2025</t>
  </si>
  <si>
    <t>ramp_slippage</t>
  </si>
  <si>
    <t>2025-07-01</t>
  </si>
  <si>
    <t>Phase 1 first cargo Feb 2025 after multi-year delays; ramped to ~90% of nameplate (~2.4 MTPA) by mid-2025; ramp slippage period effectively closed</t>
  </si>
  <si>
    <t>BP press releases + Platts LNG Daily; kosmosenergy.com; offshore-technology.com</t>
  </si>
  <si>
    <t>CC3-RAMP-2025</t>
  </si>
  <si>
    <t>2025-03-01</t>
  </si>
  <si>
    <t>Stage 3 commissioning across 7 midscale trains progressing slower than initial schedule; 6 of 7 trains producing LNG by May 2026; T7 expected fall 2026; ramp ongoing</t>
  </si>
  <si>
    <t>Cheniere Q4 2024 earnings + Platts LNG Daily; lngprime.com; naturalgasintel.com May 2026</t>
  </si>
  <si>
    <t>NFE-RAMP-SLIP-2026</t>
  </si>
  <si>
    <t>2026-01-01</t>
  </si>
  <si>
    <t>COD slipped from initial 2026-Q1 target to Q3 2026; first LNG achieved Nov 2025; pre-commissioning ongoing; targeting mid-2026 COD; partial revenue impact ongoing</t>
  </si>
  <si>
    <t>QatarEnergy + IGU 2025 update + Platts LNG Daily; mees.com Dec 2025; lngindustry.com May 2025</t>
  </si>
  <si>
    <t>WHEATSTONE-CYCLONE-NARELLE-2026</t>
  </si>
  <si>
    <t>2026-03-25</t>
  </si>
  <si>
    <t>2026-04-23</t>
  </si>
  <si>
    <t>Tropical Cyclone Narelle damaged several hundred air-cooled heat exchangers (fin fans); both Wheatstone LNG trains taken offline; domestic gas restored ~1 week post-event; T1 back at full rates mid-April; full production restored 2026-04-23</t>
  </si>
  <si>
    <t>pgjonline.com Apr 2026; lngprime.com; energynow.com Apr 2026; miningweekly.com 2026-03-30</t>
  </si>
  <si>
    <t>Same incident; T2 also offline; full LNG production confirmed restored 2026-04-23 per Chevron Australia</t>
  </si>
  <si>
    <t>pgjonline.com Apr 2026; chevron australia statement</t>
  </si>
  <si>
    <t>FREEPORT-MAINT-2026</t>
  </si>
  <si>
    <t>2026-05-13</t>
  </si>
  <si>
    <t>2026-06-10</t>
  </si>
  <si>
    <t>Planned spring maintenance; Freeport T2 taken offline May 13 2026; followed unplanned outage early May; all three trains returned to service by early June 2026; three cancelled cargoes</t>
  </si>
  <si>
    <t>energynow.com May 2026; naturalgasintel.com; pgjonline.com Jun 2026</t>
  </si>
  <si>
    <t>Rows referencing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</si>
</sst>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666666"/>
      <name val="Calibri"/>
    </font>
    <font>
      <b/>
      <sz val="11"/>
      <name val="Calibri"/>
    </font>
    <font>
      <sz val="11"/>
      <color rgb="FF1F4E78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3" fontId="4" fillId="0" borderId="0" xfId="0" applyNumberFormat="1" applyFont="1"/>
    <xf numFmtId="164" fontId="4" fillId="0" borderId="0" xfId="0" applyNumberFormat="1" applyFont="1"/>
    <xf numFmtId="0" fontId="3" fillId="0" borderId="0" xfId="0" applyFont="1"/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0" fontId="5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3" workbookViewId="0">
      <selection activeCell="H21" sqref="H21"/>
    </sheetView>
  </sheetViews>
  <sheetFormatPr defaultRowHeight="15" x14ac:dyDescent="0.25"/>
  <cols>
    <col min="1" max="1" width="54" customWidth="1"/>
    <col min="2" max="3" width="18" customWidth="1"/>
    <col min="4" max="4" width="10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</row>
    <row r="3" spans="1:2" x14ac:dyDescent="0.25">
      <c r="A3" s="2" t="s">
        <v>2</v>
      </c>
    </row>
    <row r="5" spans="1:2" x14ac:dyDescent="0.25">
      <c r="A5" s="3" t="s">
        <v>3</v>
      </c>
    </row>
    <row r="6" spans="1:2" x14ac:dyDescent="0.25">
      <c r="A6" t="s">
        <v>4</v>
      </c>
      <c r="B6" s="4">
        <f>COUNTA('Liquefaction — Operational'!A:A) + COUNTA('Liquefaction — Upcoming'!A:A) - 2</f>
        <v>110</v>
      </c>
    </row>
    <row r="7" spans="1:2" x14ac:dyDescent="0.25">
      <c r="A7" t="s">
        <v>5</v>
      </c>
      <c r="B7" s="4">
        <f>COUNTA('Liquefaction — Operational'!A:A) - 1</f>
        <v>79</v>
      </c>
    </row>
    <row r="8" spans="1:2" x14ac:dyDescent="0.25">
      <c r="A8" t="s">
        <v>6</v>
      </c>
      <c r="B8" s="4">
        <f>COUNTIF('Liquefaction — Upcoming'!G:G,"planned") + COUNTIF('Liquefaction — Upcoming'!G:G,"FID") + COUNTIF('Liquefaction — Upcoming'!G:G,"construction") + COUNTIF('Liquefaction — Upcoming'!G:G,"commissioning")</f>
        <v>27</v>
      </c>
    </row>
    <row r="9" spans="1:2" x14ac:dyDescent="0.25">
      <c r="A9" t="s">
        <v>7</v>
      </c>
      <c r="B9" s="4">
        <f>COUNTIF('Liquefaction — Upcoming'!G:G,"mothballed") + COUNTIF('Liquefaction — Upcoming'!G:G,"paused") + COUNTIF('Liquefaction — Upcoming'!G:G,"retired")</f>
        <v>4</v>
      </c>
    </row>
    <row r="10" spans="1:2" x14ac:dyDescent="0.25">
      <c r="A10" t="s">
        <v>8</v>
      </c>
      <c r="B10" s="4">
        <f>COUNTA('Regasification — Operational'!A:A) + COUNTA('Regasification — Upcoming'!A:A) - 2</f>
        <v>68</v>
      </c>
    </row>
    <row r="11" spans="1:2" x14ac:dyDescent="0.25">
      <c r="A11" t="s">
        <v>9</v>
      </c>
      <c r="B11" s="4">
        <f>COUNTA('Regasification — Operational'!A:A) - 1</f>
        <v>66</v>
      </c>
    </row>
    <row r="12" spans="1:2" x14ac:dyDescent="0.25">
      <c r="A12" t="s">
        <v>10</v>
      </c>
      <c r="B12" s="4">
        <f>COUNTA('Regasification — Upcoming'!A:A) - 1</f>
        <v>2</v>
      </c>
    </row>
    <row r="13" spans="1:2" x14ac:dyDescent="0.25">
      <c r="A13" t="s">
        <v>11</v>
      </c>
      <c r="B13" s="4">
        <f>COUNTA(Disruptions!A:A) - COUNTA(Disruptions!E:E)</f>
        <v>6</v>
      </c>
    </row>
    <row r="15" spans="1:2" x14ac:dyDescent="0.25">
      <c r="A15" s="3" t="s">
        <v>12</v>
      </c>
    </row>
    <row r="16" spans="1:2" x14ac:dyDescent="0.25">
      <c r="A16" t="s">
        <v>13</v>
      </c>
      <c r="B16" s="5">
        <f>SUM('Liquefaction — Operational'!H:H)</f>
        <v>416.75000000000006</v>
      </c>
    </row>
    <row r="17" spans="1:4" x14ac:dyDescent="0.25">
      <c r="A17" t="s">
        <v>14</v>
      </c>
      <c r="B17" s="5">
        <f>SUM('Liquefaction — Operational'!I:I)</f>
        <v>393.95</v>
      </c>
    </row>
    <row r="18" spans="1:4" x14ac:dyDescent="0.25">
      <c r="A18" t="s">
        <v>15</v>
      </c>
      <c r="B18" s="5">
        <f>SUMIFS('Liquefaction — Upcoming'!H:H,'Liquefaction — Upcoming'!G:G,"planned") + SUMIFS('Liquefaction — Upcoming'!H:H,'Liquefaction — Upcoming'!G:G,"FID") + SUMIFS('Liquefaction — Upcoming'!H:H,'Liquefaction — Upcoming'!G:G,"construction") + SUMIFS('Liquefaction — Upcoming'!H:H,'Liquefaction — Upcoming'!G:G,"commissioning")</f>
        <v>180.73</v>
      </c>
    </row>
    <row r="19" spans="1:4" x14ac:dyDescent="0.25">
      <c r="A19" t="s">
        <v>16</v>
      </c>
      <c r="B19" s="5">
        <f>SUM('Regasification — Operational'!I:I)</f>
        <v>519.00000000000023</v>
      </c>
    </row>
    <row r="20" spans="1:4" x14ac:dyDescent="0.25">
      <c r="A20" t="s">
        <v>17</v>
      </c>
      <c r="B20" s="5">
        <f>SUM('Regasification — Upcoming'!I:I)</f>
        <v>16.100000000000001</v>
      </c>
    </row>
    <row r="22" spans="1:4" x14ac:dyDescent="0.25">
      <c r="A22" s="3" t="s">
        <v>18</v>
      </c>
    </row>
    <row r="23" spans="1:4" x14ac:dyDescent="0.25">
      <c r="A23" s="6" t="s">
        <v>19</v>
      </c>
      <c r="B23" s="6" t="s">
        <v>20</v>
      </c>
      <c r="C23" s="6" t="s">
        <v>21</v>
      </c>
      <c r="D23" s="6" t="s">
        <v>22</v>
      </c>
    </row>
    <row r="24" spans="1:4" x14ac:dyDescent="0.25">
      <c r="A24" t="s">
        <v>23</v>
      </c>
      <c r="B24" s="5">
        <f>SUMIFS('Liquefaction — Operational'!H:H,'Liquefaction — Operational'!C:C,"Australia")</f>
        <v>91.4</v>
      </c>
      <c r="C24" s="5">
        <f>SUMIFS('Liquefaction — Operational'!I:I,'Liquefaction — Operational'!C:C,"Australia")</f>
        <v>88.6</v>
      </c>
      <c r="D24" s="4">
        <f>COUNTIF('Liquefaction — Operational'!C:C,"Australia")</f>
        <v>22</v>
      </c>
    </row>
    <row r="25" spans="1:4" x14ac:dyDescent="0.25">
      <c r="A25" t="s">
        <v>24</v>
      </c>
      <c r="B25" s="5">
        <f>SUMIFS('Liquefaction — Operational'!H:H,'Liquefaction — Operational'!C:C,"Europe")</f>
        <v>4.3</v>
      </c>
      <c r="C25" s="5">
        <f>SUMIFS('Liquefaction — Operational'!I:I,'Liquefaction — Operational'!C:C,"Europe")</f>
        <v>4</v>
      </c>
      <c r="D25" s="4">
        <f>COUNTIF('Liquefaction — Operational'!C:C,"Europe")</f>
        <v>1</v>
      </c>
    </row>
    <row r="26" spans="1:4" x14ac:dyDescent="0.25">
      <c r="A26" t="s">
        <v>25</v>
      </c>
      <c r="B26" s="5">
        <f>SUMIFS('Liquefaction — Operational'!H:H,'Liquefaction — Operational'!C:C,"Latin America")</f>
        <v>12.2</v>
      </c>
      <c r="C26" s="5">
        <f>SUMIFS('Liquefaction — Operational'!I:I,'Liquefaction — Operational'!C:C,"Latin America")</f>
        <v>10.4</v>
      </c>
      <c r="D26" s="4">
        <f>COUNTIF('Liquefaction — Operational'!C:C,"Latin America")</f>
        <v>3</v>
      </c>
    </row>
    <row r="27" spans="1:4" x14ac:dyDescent="0.25">
      <c r="A27" t="s">
        <v>26</v>
      </c>
      <c r="B27" s="5">
        <f>SUMIFS('Liquefaction — Operational'!H:H,'Liquefaction — Operational'!C:C,"MENA")</f>
        <v>86.299999999999983</v>
      </c>
      <c r="C27" s="5">
        <f>SUMIFS('Liquefaction — Operational'!I:I,'Liquefaction — Operational'!C:C,"MENA")</f>
        <v>84.1</v>
      </c>
      <c r="D27" s="4">
        <f>COUNTIF('Liquefaction — Operational'!C:C,"MENA")</f>
        <v>10</v>
      </c>
    </row>
    <row r="28" spans="1:4" x14ac:dyDescent="0.25">
      <c r="A28" t="s">
        <v>27</v>
      </c>
      <c r="B28" s="5">
        <f>SUMIFS('Liquefaction — Operational'!H:H,'Liquefaction — Operational'!C:C,"North America")</f>
        <v>99.55</v>
      </c>
      <c r="C28" s="5">
        <f>SUMIFS('Liquefaction — Operational'!I:I,'Liquefaction — Operational'!C:C,"North America")</f>
        <v>105.25</v>
      </c>
      <c r="D28" s="4">
        <f>COUNTIF('Liquefaction — Operational'!C:C,"North America")</f>
        <v>20</v>
      </c>
    </row>
    <row r="29" spans="1:4" x14ac:dyDescent="0.25">
      <c r="A29" t="s">
        <v>28</v>
      </c>
      <c r="B29" s="5">
        <f>SUMIFS('Liquefaction — Operational'!H:H,'Liquefaction — Operational'!C:C,"Russia/Arctic")</f>
        <v>27</v>
      </c>
      <c r="C29" s="5">
        <f>SUMIFS('Liquefaction — Operational'!I:I,'Liquefaction — Operational'!C:C,"Russia/Arctic")</f>
        <v>24.9</v>
      </c>
      <c r="D29" s="4">
        <f>COUNTIF('Liquefaction — Operational'!C:C,"Russia/Arctic")</f>
        <v>6</v>
      </c>
    </row>
    <row r="30" spans="1:4" x14ac:dyDescent="0.25">
      <c r="A30" t="s">
        <v>29</v>
      </c>
      <c r="B30" s="5">
        <f>SUMIFS('Liquefaction — Operational'!H:H,'Liquefaction — Operational'!C:C,"SE Asia")</f>
        <v>67.900000000000006</v>
      </c>
      <c r="C30" s="5">
        <f>SUMIFS('Liquefaction — Operational'!I:I,'Liquefaction — Operational'!C:C,"SE Asia")</f>
        <v>50.5</v>
      </c>
      <c r="D30" s="4">
        <f>COUNTIF('Liquefaction — Operational'!C:C,"SE Asia")</f>
        <v>11</v>
      </c>
    </row>
    <row r="31" spans="1:4" x14ac:dyDescent="0.25">
      <c r="A31" t="s">
        <v>30</v>
      </c>
      <c r="B31" s="5">
        <f>SUMIFS('Liquefaction — Operational'!H:H,'Liquefaction — Operational'!C:C,"Sub-Saharan Africa")</f>
        <v>28.1</v>
      </c>
      <c r="C31" s="5">
        <f>SUMIFS('Liquefaction — Operational'!I:I,'Liquefaction — Operational'!C:C,"Sub-Saharan Africa")</f>
        <v>26.200000000000003</v>
      </c>
      <c r="D31" s="4">
        <f>COUNTIF('Liquefaction — Operational'!C:C,"Sub-Saharan Africa")</f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"/>
  <sheetViews>
    <sheetView zoomScale="70" zoomScaleNormal="70" workbookViewId="0">
      <pane ySplit="1" topLeftCell="A24" activePane="bottomLeft" state="frozen"/>
      <selection pane="bottomLeft" activeCell="C31" sqref="C31:F37"/>
    </sheetView>
  </sheetViews>
  <sheetFormatPr defaultRowHeight="15" x14ac:dyDescent="0.25"/>
  <cols>
    <col min="1" max="1" width="14" customWidth="1"/>
    <col min="2" max="2" width="12" customWidth="1"/>
    <col min="3" max="3" width="16" customWidth="1"/>
    <col min="4" max="5" width="32" customWidth="1"/>
    <col min="6" max="6" width="10" customWidth="1"/>
    <col min="7" max="9" width="14" customWidth="1"/>
    <col min="10" max="11" width="12" customWidth="1"/>
    <col min="12" max="12" width="24" customWidth="1"/>
    <col min="13" max="13" width="28" customWidth="1"/>
    <col min="14" max="14" width="44" customWidth="1"/>
    <col min="15" max="15" width="28" customWidth="1"/>
    <col min="16" max="16" width="11" customWidth="1"/>
    <col min="17" max="17" width="38" customWidth="1"/>
  </cols>
  <sheetData>
    <row r="1" spans="1:17" x14ac:dyDescent="0.25">
      <c r="A1" s="7" t="s">
        <v>31</v>
      </c>
      <c r="B1" s="7" t="s">
        <v>32</v>
      </c>
      <c r="C1" s="7" t="s">
        <v>19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20</v>
      </c>
      <c r="I1" s="7" t="s">
        <v>21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</row>
    <row r="2" spans="1:17" x14ac:dyDescent="0.25">
      <c r="A2" s="8" t="s">
        <v>45</v>
      </c>
      <c r="B2" s="8" t="s">
        <v>23</v>
      </c>
      <c r="C2" s="8" t="s">
        <v>23</v>
      </c>
      <c r="D2" s="8" t="s">
        <v>46</v>
      </c>
      <c r="E2" s="8" t="s">
        <v>47</v>
      </c>
      <c r="F2" s="8" t="s">
        <v>48</v>
      </c>
      <c r="G2" s="8" t="s">
        <v>49</v>
      </c>
      <c r="H2" s="9">
        <v>4.5</v>
      </c>
      <c r="I2" s="9">
        <v>4.5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</row>
    <row r="3" spans="1:17" x14ac:dyDescent="0.25">
      <c r="A3" s="8" t="s">
        <v>58</v>
      </c>
      <c r="B3" s="8" t="s">
        <v>23</v>
      </c>
      <c r="C3" s="8" t="s">
        <v>23</v>
      </c>
      <c r="D3" s="8" t="s">
        <v>46</v>
      </c>
      <c r="E3" s="8" t="s">
        <v>47</v>
      </c>
      <c r="F3" s="8" t="s">
        <v>59</v>
      </c>
      <c r="G3" s="8" t="s">
        <v>49</v>
      </c>
      <c r="H3" s="9">
        <v>4.5</v>
      </c>
      <c r="I3" s="9">
        <v>4.5</v>
      </c>
      <c r="J3" s="8" t="s">
        <v>50</v>
      </c>
      <c r="K3" s="8" t="s">
        <v>60</v>
      </c>
      <c r="L3" s="8" t="s">
        <v>52</v>
      </c>
      <c r="M3" s="8" t="s">
        <v>53</v>
      </c>
      <c r="N3" s="8" t="s">
        <v>61</v>
      </c>
      <c r="O3" s="8" t="s">
        <v>62</v>
      </c>
      <c r="P3" s="8" t="s">
        <v>56</v>
      </c>
      <c r="Q3" s="8"/>
    </row>
    <row r="4" spans="1:17" x14ac:dyDescent="0.25">
      <c r="A4" s="8" t="s">
        <v>63</v>
      </c>
      <c r="B4" s="8" t="s">
        <v>23</v>
      </c>
      <c r="C4" s="8" t="s">
        <v>23</v>
      </c>
      <c r="D4" s="8" t="s">
        <v>64</v>
      </c>
      <c r="E4" s="8" t="s">
        <v>65</v>
      </c>
      <c r="F4" s="8" t="s">
        <v>48</v>
      </c>
      <c r="G4" s="8" t="s">
        <v>49</v>
      </c>
      <c r="H4" s="9">
        <v>3.9</v>
      </c>
      <c r="I4" s="9">
        <v>3.6</v>
      </c>
      <c r="J4" s="8" t="s">
        <v>66</v>
      </c>
      <c r="K4" s="8" t="s">
        <v>67</v>
      </c>
      <c r="L4" s="8" t="s">
        <v>52</v>
      </c>
      <c r="M4" s="8" t="s">
        <v>53</v>
      </c>
      <c r="N4" s="8" t="s">
        <v>68</v>
      </c>
      <c r="O4" s="8" t="s">
        <v>69</v>
      </c>
      <c r="P4" s="8" t="s">
        <v>56</v>
      </c>
      <c r="Q4" s="8" t="s">
        <v>70</v>
      </c>
    </row>
    <row r="5" spans="1:17" x14ac:dyDescent="0.25">
      <c r="A5" s="8" t="s">
        <v>71</v>
      </c>
      <c r="B5" s="8" t="s">
        <v>23</v>
      </c>
      <c r="C5" s="8" t="s">
        <v>23</v>
      </c>
      <c r="D5" s="8" t="s">
        <v>64</v>
      </c>
      <c r="E5" s="8" t="s">
        <v>65</v>
      </c>
      <c r="F5" s="8" t="s">
        <v>59</v>
      </c>
      <c r="G5" s="8" t="s">
        <v>49</v>
      </c>
      <c r="H5" s="9">
        <v>3.9</v>
      </c>
      <c r="I5" s="9">
        <v>3.6</v>
      </c>
      <c r="J5" s="8" t="s">
        <v>66</v>
      </c>
      <c r="K5" s="8" t="s">
        <v>72</v>
      </c>
      <c r="L5" s="8" t="s">
        <v>52</v>
      </c>
      <c r="M5" s="8" t="s">
        <v>62</v>
      </c>
      <c r="N5" s="8" t="s">
        <v>62</v>
      </c>
      <c r="O5" s="8" t="s">
        <v>69</v>
      </c>
      <c r="P5" s="8" t="s">
        <v>56</v>
      </c>
      <c r="Q5" s="8"/>
    </row>
    <row r="6" spans="1:17" ht="30" x14ac:dyDescent="0.25">
      <c r="A6" s="8" t="s">
        <v>73</v>
      </c>
      <c r="B6" s="8" t="s">
        <v>23</v>
      </c>
      <c r="C6" s="8" t="s">
        <v>23</v>
      </c>
      <c r="D6" s="8" t="s">
        <v>74</v>
      </c>
      <c r="E6" s="8" t="s">
        <v>75</v>
      </c>
      <c r="F6" s="8" t="s">
        <v>48</v>
      </c>
      <c r="G6" s="8" t="s">
        <v>49</v>
      </c>
      <c r="H6" s="9">
        <v>5.2</v>
      </c>
      <c r="I6" s="9">
        <v>5</v>
      </c>
      <c r="J6" s="8" t="s">
        <v>76</v>
      </c>
      <c r="K6" s="8" t="s">
        <v>77</v>
      </c>
      <c r="L6" s="8" t="s">
        <v>52</v>
      </c>
      <c r="M6" s="8" t="s">
        <v>78</v>
      </c>
      <c r="N6" s="8" t="s">
        <v>79</v>
      </c>
      <c r="O6" s="8" t="s">
        <v>80</v>
      </c>
      <c r="P6" s="8" t="s">
        <v>56</v>
      </c>
      <c r="Q6" s="8" t="s">
        <v>81</v>
      </c>
    </row>
    <row r="7" spans="1:17" ht="30" x14ac:dyDescent="0.25">
      <c r="A7" s="8" t="s">
        <v>82</v>
      </c>
      <c r="B7" s="8" t="s">
        <v>23</v>
      </c>
      <c r="C7" s="8" t="s">
        <v>23</v>
      </c>
      <c r="D7" s="8" t="s">
        <v>74</v>
      </c>
      <c r="E7" s="8" t="s">
        <v>75</v>
      </c>
      <c r="F7" s="8" t="s">
        <v>59</v>
      </c>
      <c r="G7" s="8" t="s">
        <v>49</v>
      </c>
      <c r="H7" s="9">
        <v>5.2</v>
      </c>
      <c r="I7" s="9">
        <v>5</v>
      </c>
      <c r="J7" s="8" t="s">
        <v>76</v>
      </c>
      <c r="K7" s="8" t="s">
        <v>83</v>
      </c>
      <c r="L7" s="8" t="s">
        <v>52</v>
      </c>
      <c r="M7" s="8" t="s">
        <v>62</v>
      </c>
      <c r="N7" s="8" t="s">
        <v>62</v>
      </c>
      <c r="O7" s="8" t="s">
        <v>80</v>
      </c>
      <c r="P7" s="8" t="s">
        <v>56</v>
      </c>
      <c r="Q7" s="8"/>
    </row>
    <row r="8" spans="1:17" ht="30" x14ac:dyDescent="0.25">
      <c r="A8" s="8" t="s">
        <v>84</v>
      </c>
      <c r="B8" s="8" t="s">
        <v>23</v>
      </c>
      <c r="C8" s="8" t="s">
        <v>23</v>
      </c>
      <c r="D8" s="8" t="s">
        <v>74</v>
      </c>
      <c r="E8" s="8" t="s">
        <v>75</v>
      </c>
      <c r="F8" s="8" t="s">
        <v>85</v>
      </c>
      <c r="G8" s="8" t="s">
        <v>49</v>
      </c>
      <c r="H8" s="9">
        <v>5.2</v>
      </c>
      <c r="I8" s="9">
        <v>5</v>
      </c>
      <c r="J8" s="8" t="s">
        <v>76</v>
      </c>
      <c r="K8" s="8" t="s">
        <v>86</v>
      </c>
      <c r="L8" s="8" t="s">
        <v>52</v>
      </c>
      <c r="M8" s="8" t="s">
        <v>62</v>
      </c>
      <c r="N8" s="8" t="s">
        <v>62</v>
      </c>
      <c r="O8" s="8" t="s">
        <v>80</v>
      </c>
      <c r="P8" s="8" t="s">
        <v>56</v>
      </c>
      <c r="Q8" s="8"/>
    </row>
    <row r="9" spans="1:17" ht="30" x14ac:dyDescent="0.25">
      <c r="A9" s="8" t="s">
        <v>87</v>
      </c>
      <c r="B9" s="8" t="s">
        <v>23</v>
      </c>
      <c r="C9" s="8" t="s">
        <v>23</v>
      </c>
      <c r="D9" s="8" t="s">
        <v>88</v>
      </c>
      <c r="E9" s="8" t="s">
        <v>89</v>
      </c>
      <c r="F9" s="8" t="s">
        <v>48</v>
      </c>
      <c r="G9" s="8" t="s">
        <v>49</v>
      </c>
      <c r="H9" s="9">
        <v>4.45</v>
      </c>
      <c r="I9" s="9">
        <v>4.4000000000000004</v>
      </c>
      <c r="J9" s="8" t="s">
        <v>90</v>
      </c>
      <c r="K9" s="8" t="s">
        <v>91</v>
      </c>
      <c r="L9" s="8" t="s">
        <v>52</v>
      </c>
      <c r="M9" s="8" t="s">
        <v>92</v>
      </c>
      <c r="N9" s="8" t="s">
        <v>93</v>
      </c>
      <c r="O9" s="8" t="s">
        <v>94</v>
      </c>
      <c r="P9" s="8" t="s">
        <v>56</v>
      </c>
      <c r="Q9" s="8" t="s">
        <v>95</v>
      </c>
    </row>
    <row r="10" spans="1:17" ht="30" x14ac:dyDescent="0.25">
      <c r="A10" s="8" t="s">
        <v>96</v>
      </c>
      <c r="B10" s="8" t="s">
        <v>23</v>
      </c>
      <c r="C10" s="8" t="s">
        <v>23</v>
      </c>
      <c r="D10" s="8" t="s">
        <v>88</v>
      </c>
      <c r="E10" s="8" t="s">
        <v>89</v>
      </c>
      <c r="F10" s="8" t="s">
        <v>59</v>
      </c>
      <c r="G10" s="8" t="s">
        <v>49</v>
      </c>
      <c r="H10" s="9">
        <v>4.45</v>
      </c>
      <c r="I10" s="9">
        <v>4.4000000000000004</v>
      </c>
      <c r="J10" s="8" t="s">
        <v>90</v>
      </c>
      <c r="K10" s="8" t="s">
        <v>97</v>
      </c>
      <c r="L10" s="8" t="s">
        <v>52</v>
      </c>
      <c r="M10" s="8" t="s">
        <v>62</v>
      </c>
      <c r="N10" s="8" t="s">
        <v>62</v>
      </c>
      <c r="O10" s="8" t="s">
        <v>94</v>
      </c>
      <c r="P10" s="8" t="s">
        <v>56</v>
      </c>
      <c r="Q10" s="8"/>
    </row>
    <row r="11" spans="1:17" ht="30" x14ac:dyDescent="0.25">
      <c r="A11" s="8" t="s">
        <v>98</v>
      </c>
      <c r="B11" s="8" t="s">
        <v>23</v>
      </c>
      <c r="C11" s="8" t="s">
        <v>23</v>
      </c>
      <c r="D11" s="8" t="s">
        <v>99</v>
      </c>
      <c r="E11" s="8" t="s">
        <v>100</v>
      </c>
      <c r="F11" s="8" t="s">
        <v>48</v>
      </c>
      <c r="G11" s="8" t="s">
        <v>49</v>
      </c>
      <c r="H11" s="9">
        <v>2.5</v>
      </c>
      <c r="I11" s="9">
        <v>2.4</v>
      </c>
      <c r="J11" s="8" t="s">
        <v>101</v>
      </c>
      <c r="K11" s="8" t="s">
        <v>102</v>
      </c>
      <c r="L11" s="8" t="s">
        <v>52</v>
      </c>
      <c r="M11" s="8" t="s">
        <v>103</v>
      </c>
      <c r="N11" s="8" t="s">
        <v>104</v>
      </c>
      <c r="O11" s="8" t="s">
        <v>105</v>
      </c>
      <c r="P11" s="8" t="s">
        <v>56</v>
      </c>
      <c r="Q11" s="8" t="s">
        <v>106</v>
      </c>
    </row>
    <row r="12" spans="1:17" ht="30" x14ac:dyDescent="0.25">
      <c r="A12" s="8" t="s">
        <v>107</v>
      </c>
      <c r="B12" s="8" t="s">
        <v>23</v>
      </c>
      <c r="C12" s="8" t="s">
        <v>23</v>
      </c>
      <c r="D12" s="8" t="s">
        <v>99</v>
      </c>
      <c r="E12" s="8" t="s">
        <v>100</v>
      </c>
      <c r="F12" s="8" t="s">
        <v>59</v>
      </c>
      <c r="G12" s="8" t="s">
        <v>49</v>
      </c>
      <c r="H12" s="9">
        <v>2.5</v>
      </c>
      <c r="I12" s="9">
        <v>2.4</v>
      </c>
      <c r="J12" s="8" t="s">
        <v>101</v>
      </c>
      <c r="K12" s="8" t="s">
        <v>102</v>
      </c>
      <c r="L12" s="8" t="s">
        <v>52</v>
      </c>
      <c r="M12" s="8" t="s">
        <v>103</v>
      </c>
      <c r="N12" s="8" t="s">
        <v>62</v>
      </c>
      <c r="O12" s="8" t="s">
        <v>108</v>
      </c>
      <c r="P12" s="8" t="s">
        <v>56</v>
      </c>
      <c r="Q12" s="8"/>
    </row>
    <row r="13" spans="1:17" ht="30" x14ac:dyDescent="0.25">
      <c r="A13" s="8" t="s">
        <v>109</v>
      </c>
      <c r="B13" s="8" t="s">
        <v>23</v>
      </c>
      <c r="C13" s="8" t="s">
        <v>23</v>
      </c>
      <c r="D13" s="8" t="s">
        <v>99</v>
      </c>
      <c r="E13" s="8" t="s">
        <v>100</v>
      </c>
      <c r="F13" s="8" t="s">
        <v>85</v>
      </c>
      <c r="G13" s="8" t="s">
        <v>49</v>
      </c>
      <c r="H13" s="9">
        <v>2.5</v>
      </c>
      <c r="I13" s="9">
        <v>2.4</v>
      </c>
      <c r="J13" s="8" t="s">
        <v>110</v>
      </c>
      <c r="K13" s="8" t="s">
        <v>111</v>
      </c>
      <c r="L13" s="8" t="s">
        <v>52</v>
      </c>
      <c r="M13" s="8" t="s">
        <v>103</v>
      </c>
      <c r="N13" s="8" t="s">
        <v>62</v>
      </c>
      <c r="O13" s="8" t="s">
        <v>108</v>
      </c>
      <c r="P13" s="8" t="s">
        <v>56</v>
      </c>
      <c r="Q13" s="8"/>
    </row>
    <row r="14" spans="1:17" ht="30" x14ac:dyDescent="0.25">
      <c r="A14" s="8" t="s">
        <v>112</v>
      </c>
      <c r="B14" s="8" t="s">
        <v>23</v>
      </c>
      <c r="C14" s="8" t="s">
        <v>23</v>
      </c>
      <c r="D14" s="8" t="s">
        <v>99</v>
      </c>
      <c r="E14" s="8" t="s">
        <v>100</v>
      </c>
      <c r="F14" s="8" t="s">
        <v>113</v>
      </c>
      <c r="G14" s="8" t="s">
        <v>49</v>
      </c>
      <c r="H14" s="9">
        <v>4.4000000000000004</v>
      </c>
      <c r="I14" s="9">
        <v>4.3</v>
      </c>
      <c r="J14" s="8" t="s">
        <v>114</v>
      </c>
      <c r="K14" s="8" t="s">
        <v>115</v>
      </c>
      <c r="L14" s="8" t="s">
        <v>52</v>
      </c>
      <c r="M14" s="8" t="s">
        <v>103</v>
      </c>
      <c r="N14" s="8" t="s">
        <v>62</v>
      </c>
      <c r="O14" s="8" t="s">
        <v>108</v>
      </c>
      <c r="P14" s="8" t="s">
        <v>56</v>
      </c>
      <c r="Q14" s="8"/>
    </row>
    <row r="15" spans="1:17" ht="45" x14ac:dyDescent="0.25">
      <c r="A15" s="8" t="s">
        <v>116</v>
      </c>
      <c r="B15" s="8" t="s">
        <v>23</v>
      </c>
      <c r="C15" s="8" t="s">
        <v>23</v>
      </c>
      <c r="D15" s="8" t="s">
        <v>99</v>
      </c>
      <c r="E15" s="8" t="s">
        <v>100</v>
      </c>
      <c r="F15" s="8" t="s">
        <v>117</v>
      </c>
      <c r="G15" s="8" t="s">
        <v>49</v>
      </c>
      <c r="H15" s="9">
        <v>4.4000000000000004</v>
      </c>
      <c r="I15" s="9">
        <v>4.3</v>
      </c>
      <c r="J15" s="8" t="s">
        <v>118</v>
      </c>
      <c r="K15" s="8" t="s">
        <v>119</v>
      </c>
      <c r="L15" s="8" t="s">
        <v>52</v>
      </c>
      <c r="M15" s="8" t="s">
        <v>120</v>
      </c>
      <c r="N15" s="8" t="s">
        <v>62</v>
      </c>
      <c r="O15" s="8" t="s">
        <v>108</v>
      </c>
      <c r="P15" s="8" t="s">
        <v>56</v>
      </c>
      <c r="Q15" s="8" t="s">
        <v>121</v>
      </c>
    </row>
    <row r="16" spans="1:17" x14ac:dyDescent="0.25">
      <c r="A16" s="8" t="s">
        <v>122</v>
      </c>
      <c r="B16" s="8" t="s">
        <v>23</v>
      </c>
      <c r="C16" s="8" t="s">
        <v>23</v>
      </c>
      <c r="D16" s="8" t="s">
        <v>123</v>
      </c>
      <c r="E16" s="8" t="s">
        <v>108</v>
      </c>
      <c r="F16" s="8" t="s">
        <v>48</v>
      </c>
      <c r="G16" s="8" t="s">
        <v>49</v>
      </c>
      <c r="H16" s="9">
        <v>4.9000000000000004</v>
      </c>
      <c r="I16" s="9">
        <v>4.8</v>
      </c>
      <c r="J16" s="8" t="s">
        <v>124</v>
      </c>
      <c r="K16" s="8" t="s">
        <v>125</v>
      </c>
      <c r="L16" s="8" t="s">
        <v>52</v>
      </c>
      <c r="M16" s="8" t="s">
        <v>126</v>
      </c>
      <c r="N16" s="8" t="s">
        <v>127</v>
      </c>
      <c r="O16" s="8" t="s">
        <v>108</v>
      </c>
      <c r="P16" s="8" t="s">
        <v>56</v>
      </c>
      <c r="Q16" s="8"/>
    </row>
    <row r="17" spans="1:17" ht="30" x14ac:dyDescent="0.25">
      <c r="A17" s="8" t="s">
        <v>128</v>
      </c>
      <c r="B17" s="8" t="s">
        <v>23</v>
      </c>
      <c r="C17" s="8" t="s">
        <v>23</v>
      </c>
      <c r="D17" s="8" t="s">
        <v>129</v>
      </c>
      <c r="E17" s="8" t="s">
        <v>130</v>
      </c>
      <c r="F17" s="8" t="s">
        <v>131</v>
      </c>
      <c r="G17" s="8" t="s">
        <v>49</v>
      </c>
      <c r="H17" s="9">
        <v>3.6</v>
      </c>
      <c r="I17" s="9">
        <v>3.2</v>
      </c>
      <c r="J17" s="8" t="s">
        <v>132</v>
      </c>
      <c r="K17" s="8" t="s">
        <v>133</v>
      </c>
      <c r="L17" s="8" t="s">
        <v>134</v>
      </c>
      <c r="M17" s="8" t="s">
        <v>135</v>
      </c>
      <c r="N17" s="8" t="s">
        <v>136</v>
      </c>
      <c r="O17" s="8" t="s">
        <v>137</v>
      </c>
      <c r="P17" s="8" t="s">
        <v>56</v>
      </c>
      <c r="Q17" s="8" t="s">
        <v>138</v>
      </c>
    </row>
    <row r="18" spans="1:17" x14ac:dyDescent="0.25">
      <c r="A18" s="8" t="s">
        <v>139</v>
      </c>
      <c r="B18" s="8" t="s">
        <v>23</v>
      </c>
      <c r="C18" s="8" t="s">
        <v>23</v>
      </c>
      <c r="D18" s="8" t="s">
        <v>140</v>
      </c>
      <c r="E18" s="8" t="s">
        <v>141</v>
      </c>
      <c r="F18" s="8" t="s">
        <v>48</v>
      </c>
      <c r="G18" s="8" t="s">
        <v>49</v>
      </c>
      <c r="H18" s="9">
        <v>4</v>
      </c>
      <c r="I18" s="9">
        <v>4</v>
      </c>
      <c r="J18" s="8" t="s">
        <v>142</v>
      </c>
      <c r="K18" s="8" t="s">
        <v>143</v>
      </c>
      <c r="L18" s="8" t="s">
        <v>52</v>
      </c>
      <c r="M18" s="8" t="s">
        <v>53</v>
      </c>
      <c r="N18" s="8" t="s">
        <v>144</v>
      </c>
      <c r="O18" s="8" t="s">
        <v>137</v>
      </c>
      <c r="P18" s="8" t="s">
        <v>56</v>
      </c>
      <c r="Q18" s="8"/>
    </row>
    <row r="19" spans="1:17" x14ac:dyDescent="0.25">
      <c r="A19" s="8" t="s">
        <v>145</v>
      </c>
      <c r="B19" s="8" t="s">
        <v>23</v>
      </c>
      <c r="C19" s="8" t="s">
        <v>23</v>
      </c>
      <c r="D19" s="8" t="s">
        <v>140</v>
      </c>
      <c r="E19" s="8" t="s">
        <v>141</v>
      </c>
      <c r="F19" s="8" t="s">
        <v>59</v>
      </c>
      <c r="G19" s="8" t="s">
        <v>49</v>
      </c>
      <c r="H19" s="9">
        <v>4</v>
      </c>
      <c r="I19" s="9">
        <v>4</v>
      </c>
      <c r="J19" s="8" t="s">
        <v>142</v>
      </c>
      <c r="K19" s="8" t="s">
        <v>146</v>
      </c>
      <c r="L19" s="8" t="s">
        <v>52</v>
      </c>
      <c r="M19" s="8" t="s">
        <v>62</v>
      </c>
      <c r="N19" s="8" t="s">
        <v>62</v>
      </c>
      <c r="O19" s="8" t="s">
        <v>137</v>
      </c>
      <c r="P19" s="8" t="s">
        <v>56</v>
      </c>
      <c r="Q19" s="8"/>
    </row>
    <row r="20" spans="1:17" ht="45" x14ac:dyDescent="0.25">
      <c r="A20" s="8" t="s">
        <v>147</v>
      </c>
      <c r="B20" s="8" t="s">
        <v>23</v>
      </c>
      <c r="C20" s="8" t="s">
        <v>23</v>
      </c>
      <c r="D20" s="8" t="s">
        <v>148</v>
      </c>
      <c r="E20" s="8" t="s">
        <v>149</v>
      </c>
      <c r="F20" s="8" t="s">
        <v>48</v>
      </c>
      <c r="G20" s="8" t="s">
        <v>49</v>
      </c>
      <c r="H20" s="9">
        <v>4.45</v>
      </c>
      <c r="I20" s="9">
        <v>4.4000000000000004</v>
      </c>
      <c r="J20" s="8" t="s">
        <v>150</v>
      </c>
      <c r="K20" s="8" t="s">
        <v>151</v>
      </c>
      <c r="L20" s="8" t="s">
        <v>52</v>
      </c>
      <c r="M20" s="8" t="s">
        <v>152</v>
      </c>
      <c r="N20" s="8" t="s">
        <v>79</v>
      </c>
      <c r="O20" s="8" t="s">
        <v>80</v>
      </c>
      <c r="P20" s="8" t="s">
        <v>56</v>
      </c>
      <c r="Q20" s="8"/>
    </row>
    <row r="21" spans="1:17" ht="45" x14ac:dyDescent="0.25">
      <c r="A21" s="8" t="s">
        <v>153</v>
      </c>
      <c r="B21" s="8" t="s">
        <v>23</v>
      </c>
      <c r="C21" s="8" t="s">
        <v>23</v>
      </c>
      <c r="D21" s="8" t="s">
        <v>148</v>
      </c>
      <c r="E21" s="8" t="s">
        <v>149</v>
      </c>
      <c r="F21" s="8" t="s">
        <v>59</v>
      </c>
      <c r="G21" s="8" t="s">
        <v>49</v>
      </c>
      <c r="H21" s="9">
        <v>4.45</v>
      </c>
      <c r="I21" s="9">
        <v>4.4000000000000004</v>
      </c>
      <c r="J21" s="8" t="s">
        <v>150</v>
      </c>
      <c r="K21" s="8" t="s">
        <v>154</v>
      </c>
      <c r="L21" s="8" t="s">
        <v>52</v>
      </c>
      <c r="M21" s="8" t="s">
        <v>62</v>
      </c>
      <c r="N21" s="8" t="s">
        <v>62</v>
      </c>
      <c r="O21" s="8" t="s">
        <v>80</v>
      </c>
      <c r="P21" s="8" t="s">
        <v>56</v>
      </c>
      <c r="Q21" s="8"/>
    </row>
    <row r="22" spans="1:17" ht="45" x14ac:dyDescent="0.25">
      <c r="A22" s="8" t="s">
        <v>155</v>
      </c>
      <c r="B22" s="8" t="s">
        <v>156</v>
      </c>
      <c r="C22" s="8" t="s">
        <v>23</v>
      </c>
      <c r="D22" s="8" t="s">
        <v>157</v>
      </c>
      <c r="E22" s="8" t="s">
        <v>158</v>
      </c>
      <c r="F22" s="8" t="s">
        <v>48</v>
      </c>
      <c r="G22" s="8" t="s">
        <v>49</v>
      </c>
      <c r="H22" s="9">
        <v>4.2</v>
      </c>
      <c r="I22" s="9">
        <v>4</v>
      </c>
      <c r="J22" s="8" t="s">
        <v>159</v>
      </c>
      <c r="K22" s="8" t="s">
        <v>160</v>
      </c>
      <c r="L22" s="8" t="s">
        <v>52</v>
      </c>
      <c r="M22" s="8" t="s">
        <v>161</v>
      </c>
      <c r="N22" s="8" t="s">
        <v>162</v>
      </c>
      <c r="O22" s="8" t="s">
        <v>163</v>
      </c>
      <c r="P22" s="8" t="s">
        <v>56</v>
      </c>
      <c r="Q22" s="8"/>
    </row>
    <row r="23" spans="1:17" ht="45" x14ac:dyDescent="0.25">
      <c r="A23" s="8" t="s">
        <v>164</v>
      </c>
      <c r="B23" s="8" t="s">
        <v>156</v>
      </c>
      <c r="C23" s="8" t="s">
        <v>23</v>
      </c>
      <c r="D23" s="8" t="s">
        <v>157</v>
      </c>
      <c r="E23" s="8" t="s">
        <v>158</v>
      </c>
      <c r="F23" s="8" t="s">
        <v>59</v>
      </c>
      <c r="G23" s="8" t="s">
        <v>49</v>
      </c>
      <c r="H23" s="9">
        <v>4.2</v>
      </c>
      <c r="I23" s="9">
        <v>4</v>
      </c>
      <c r="J23" s="8" t="s">
        <v>159</v>
      </c>
      <c r="K23" s="8" t="s">
        <v>165</v>
      </c>
      <c r="L23" s="8" t="s">
        <v>52</v>
      </c>
      <c r="M23" s="8" t="s">
        <v>62</v>
      </c>
      <c r="N23" s="8" t="s">
        <v>62</v>
      </c>
      <c r="O23" s="8" t="s">
        <v>163</v>
      </c>
      <c r="P23" s="8" t="s">
        <v>56</v>
      </c>
      <c r="Q23" s="8" t="s">
        <v>166</v>
      </c>
    </row>
    <row r="24" spans="1:17" x14ac:dyDescent="0.25">
      <c r="A24" s="8" t="s">
        <v>167</v>
      </c>
      <c r="B24" s="8" t="s">
        <v>168</v>
      </c>
      <c r="C24" s="8" t="s">
        <v>24</v>
      </c>
      <c r="D24" s="8" t="s">
        <v>169</v>
      </c>
      <c r="E24" s="8" t="s">
        <v>170</v>
      </c>
      <c r="F24" s="8" t="s">
        <v>171</v>
      </c>
      <c r="G24" s="8" t="s">
        <v>49</v>
      </c>
      <c r="H24" s="9">
        <v>4.3</v>
      </c>
      <c r="I24" s="9">
        <v>4</v>
      </c>
      <c r="J24" s="8" t="s">
        <v>172</v>
      </c>
      <c r="K24" s="8" t="s">
        <v>173</v>
      </c>
      <c r="L24" s="8" t="s">
        <v>52</v>
      </c>
      <c r="M24" s="8" t="s">
        <v>174</v>
      </c>
      <c r="N24" s="8" t="s">
        <v>175</v>
      </c>
      <c r="O24" s="8" t="s">
        <v>170</v>
      </c>
      <c r="P24" s="8" t="s">
        <v>56</v>
      </c>
      <c r="Q24" s="8" t="s">
        <v>176</v>
      </c>
    </row>
    <row r="25" spans="1:17" ht="30" x14ac:dyDescent="0.25">
      <c r="A25" s="8" t="s">
        <v>177</v>
      </c>
      <c r="B25" s="8" t="s">
        <v>178</v>
      </c>
      <c r="C25" s="8" t="s">
        <v>25</v>
      </c>
      <c r="D25" s="8" t="s">
        <v>179</v>
      </c>
      <c r="E25" s="8" t="s">
        <v>180</v>
      </c>
      <c r="F25" s="8" t="s">
        <v>59</v>
      </c>
      <c r="G25" s="8" t="s">
        <v>49</v>
      </c>
      <c r="H25" s="9">
        <v>3.5</v>
      </c>
      <c r="I25" s="9">
        <v>3</v>
      </c>
      <c r="J25" s="8" t="s">
        <v>181</v>
      </c>
      <c r="K25" s="8" t="s">
        <v>182</v>
      </c>
      <c r="L25" s="8" t="s">
        <v>52</v>
      </c>
      <c r="M25" s="8" t="s">
        <v>183</v>
      </c>
      <c r="N25" s="8" t="s">
        <v>62</v>
      </c>
      <c r="O25" s="8" t="s">
        <v>179</v>
      </c>
      <c r="P25" s="8" t="s">
        <v>56</v>
      </c>
      <c r="Q25" s="8" t="s">
        <v>184</v>
      </c>
    </row>
    <row r="26" spans="1:17" ht="30" x14ac:dyDescent="0.25">
      <c r="A26" s="8" t="s">
        <v>185</v>
      </c>
      <c r="B26" s="8" t="s">
        <v>178</v>
      </c>
      <c r="C26" s="8" t="s">
        <v>25</v>
      </c>
      <c r="D26" s="8" t="s">
        <v>179</v>
      </c>
      <c r="E26" s="8" t="s">
        <v>180</v>
      </c>
      <c r="F26" s="8" t="s">
        <v>85</v>
      </c>
      <c r="G26" s="8" t="s">
        <v>49</v>
      </c>
      <c r="H26" s="9">
        <v>3.5</v>
      </c>
      <c r="I26" s="9">
        <v>3</v>
      </c>
      <c r="J26" s="8" t="s">
        <v>181</v>
      </c>
      <c r="K26" s="8" t="s">
        <v>186</v>
      </c>
      <c r="L26" s="8" t="s">
        <v>52</v>
      </c>
      <c r="M26" s="8" t="s">
        <v>183</v>
      </c>
      <c r="N26" s="8" t="s">
        <v>62</v>
      </c>
      <c r="O26" s="8" t="s">
        <v>179</v>
      </c>
      <c r="P26" s="8" t="s">
        <v>56</v>
      </c>
      <c r="Q26" s="8"/>
    </row>
    <row r="27" spans="1:17" ht="30" x14ac:dyDescent="0.25">
      <c r="A27" s="8" t="s">
        <v>187</v>
      </c>
      <c r="B27" s="8" t="s">
        <v>178</v>
      </c>
      <c r="C27" s="8" t="s">
        <v>25</v>
      </c>
      <c r="D27" s="8" t="s">
        <v>179</v>
      </c>
      <c r="E27" s="8" t="s">
        <v>180</v>
      </c>
      <c r="F27" s="8" t="s">
        <v>113</v>
      </c>
      <c r="G27" s="8" t="s">
        <v>49</v>
      </c>
      <c r="H27" s="9">
        <v>5.2</v>
      </c>
      <c r="I27" s="9">
        <v>4.4000000000000004</v>
      </c>
      <c r="J27" s="8" t="s">
        <v>188</v>
      </c>
      <c r="K27" s="8" t="s">
        <v>189</v>
      </c>
      <c r="L27" s="8" t="s">
        <v>52</v>
      </c>
      <c r="M27" s="8" t="s">
        <v>183</v>
      </c>
      <c r="N27" s="8" t="s">
        <v>62</v>
      </c>
      <c r="O27" s="8" t="s">
        <v>179</v>
      </c>
      <c r="P27" s="8" t="s">
        <v>56</v>
      </c>
      <c r="Q27" s="8" t="s">
        <v>190</v>
      </c>
    </row>
    <row r="28" spans="1:17" ht="30" x14ac:dyDescent="0.25">
      <c r="A28" s="8" t="s">
        <v>191</v>
      </c>
      <c r="B28" s="8" t="s">
        <v>192</v>
      </c>
      <c r="C28" s="8" t="s">
        <v>26</v>
      </c>
      <c r="D28" s="8" t="s">
        <v>193</v>
      </c>
      <c r="E28" s="8" t="s">
        <v>194</v>
      </c>
      <c r="F28" s="8" t="s">
        <v>48</v>
      </c>
      <c r="G28" s="8" t="s">
        <v>49</v>
      </c>
      <c r="H28" s="9">
        <v>5</v>
      </c>
      <c r="I28" s="9">
        <v>4</v>
      </c>
      <c r="J28" s="8" t="s">
        <v>195</v>
      </c>
      <c r="K28" s="8" t="s">
        <v>118</v>
      </c>
      <c r="L28" s="8" t="s">
        <v>52</v>
      </c>
      <c r="M28" s="8" t="s">
        <v>196</v>
      </c>
      <c r="N28" s="8" t="s">
        <v>197</v>
      </c>
      <c r="O28" s="8" t="s">
        <v>198</v>
      </c>
      <c r="P28" s="8" t="s">
        <v>56</v>
      </c>
      <c r="Q28" s="8" t="s">
        <v>199</v>
      </c>
    </row>
    <row r="29" spans="1:17" x14ac:dyDescent="0.25">
      <c r="A29" s="8" t="s">
        <v>200</v>
      </c>
      <c r="B29" s="8" t="s">
        <v>192</v>
      </c>
      <c r="C29" s="8" t="s">
        <v>26</v>
      </c>
      <c r="D29" s="8" t="s">
        <v>201</v>
      </c>
      <c r="E29" s="8" t="s">
        <v>202</v>
      </c>
      <c r="F29" s="8" t="s">
        <v>48</v>
      </c>
      <c r="G29" s="8" t="s">
        <v>49</v>
      </c>
      <c r="H29" s="9">
        <v>3.6</v>
      </c>
      <c r="I29" s="9">
        <v>3</v>
      </c>
      <c r="J29" s="8" t="s">
        <v>114</v>
      </c>
      <c r="K29" s="8" t="s">
        <v>203</v>
      </c>
      <c r="L29" s="8" t="s">
        <v>52</v>
      </c>
      <c r="M29" s="8" t="s">
        <v>204</v>
      </c>
      <c r="N29" s="8" t="s">
        <v>197</v>
      </c>
      <c r="O29" s="8" t="s">
        <v>137</v>
      </c>
      <c r="P29" s="8" t="s">
        <v>56</v>
      </c>
      <c r="Q29" s="8"/>
    </row>
    <row r="30" spans="1:17" ht="30" x14ac:dyDescent="0.25">
      <c r="A30" s="8" t="s">
        <v>205</v>
      </c>
      <c r="B30" s="8" t="s">
        <v>192</v>
      </c>
      <c r="C30" s="8" t="s">
        <v>26</v>
      </c>
      <c r="D30" s="8" t="s">
        <v>201</v>
      </c>
      <c r="E30" s="8" t="s">
        <v>202</v>
      </c>
      <c r="F30" s="8" t="s">
        <v>59</v>
      </c>
      <c r="G30" s="8" t="s">
        <v>49</v>
      </c>
      <c r="H30" s="9">
        <v>3.6</v>
      </c>
      <c r="I30" s="9">
        <v>3</v>
      </c>
      <c r="J30" s="8" t="s">
        <v>114</v>
      </c>
      <c r="K30" s="8" t="s">
        <v>206</v>
      </c>
      <c r="L30" s="8" t="s">
        <v>52</v>
      </c>
      <c r="M30" s="8" t="s">
        <v>62</v>
      </c>
      <c r="N30" s="8" t="s">
        <v>62</v>
      </c>
      <c r="O30" s="8" t="s">
        <v>137</v>
      </c>
      <c r="P30" s="8" t="s">
        <v>56</v>
      </c>
      <c r="Q30" s="8" t="s">
        <v>207</v>
      </c>
    </row>
    <row r="31" spans="1:17" ht="45" x14ac:dyDescent="0.25">
      <c r="A31" s="8" t="s">
        <v>208</v>
      </c>
      <c r="B31" s="8" t="s">
        <v>209</v>
      </c>
      <c r="C31" s="8" t="s">
        <v>26</v>
      </c>
      <c r="D31" s="8" t="s">
        <v>210</v>
      </c>
      <c r="E31" s="8" t="s">
        <v>211</v>
      </c>
      <c r="F31" s="8" t="s">
        <v>212</v>
      </c>
      <c r="G31" s="8" t="s">
        <v>49</v>
      </c>
      <c r="H31" s="9">
        <v>6.6</v>
      </c>
      <c r="I31" s="9">
        <v>6.6</v>
      </c>
      <c r="J31" s="8" t="s">
        <v>213</v>
      </c>
      <c r="K31" s="8" t="s">
        <v>214</v>
      </c>
      <c r="L31" s="8" t="s">
        <v>52</v>
      </c>
      <c r="M31" s="8" t="s">
        <v>215</v>
      </c>
      <c r="N31" s="8" t="s">
        <v>216</v>
      </c>
      <c r="O31" s="8" t="s">
        <v>217</v>
      </c>
      <c r="P31" s="8" t="s">
        <v>56</v>
      </c>
      <c r="Q31" s="8" t="s">
        <v>218</v>
      </c>
    </row>
    <row r="32" spans="1:17" ht="45" x14ac:dyDescent="0.25">
      <c r="A32" s="8" t="s">
        <v>219</v>
      </c>
      <c r="B32" s="8" t="s">
        <v>209</v>
      </c>
      <c r="C32" s="8" t="s">
        <v>26</v>
      </c>
      <c r="D32" s="8" t="s">
        <v>220</v>
      </c>
      <c r="E32" s="8" t="s">
        <v>211</v>
      </c>
      <c r="F32" s="8" t="s">
        <v>221</v>
      </c>
      <c r="G32" s="8" t="s">
        <v>49</v>
      </c>
      <c r="H32" s="9">
        <v>15.6</v>
      </c>
      <c r="I32" s="9">
        <v>15.6</v>
      </c>
      <c r="J32" s="8" t="s">
        <v>222</v>
      </c>
      <c r="K32" s="8" t="s">
        <v>223</v>
      </c>
      <c r="L32" s="8" t="s">
        <v>52</v>
      </c>
      <c r="M32" s="8" t="s">
        <v>215</v>
      </c>
      <c r="N32" s="8" t="s">
        <v>224</v>
      </c>
      <c r="O32" s="8" t="s">
        <v>225</v>
      </c>
      <c r="P32" s="8" t="s">
        <v>56</v>
      </c>
      <c r="Q32" s="8" t="s">
        <v>226</v>
      </c>
    </row>
    <row r="33" spans="1:17" ht="45" x14ac:dyDescent="0.25">
      <c r="A33" s="8" t="s">
        <v>227</v>
      </c>
      <c r="B33" s="8" t="s">
        <v>209</v>
      </c>
      <c r="C33" s="8" t="s">
        <v>26</v>
      </c>
      <c r="D33" s="8" t="s">
        <v>228</v>
      </c>
      <c r="E33" s="8" t="s">
        <v>211</v>
      </c>
      <c r="F33" s="8" t="s">
        <v>229</v>
      </c>
      <c r="G33" s="8" t="s">
        <v>49</v>
      </c>
      <c r="H33" s="9">
        <v>7.8</v>
      </c>
      <c r="I33" s="9">
        <v>7.8</v>
      </c>
      <c r="J33" s="8" t="s">
        <v>118</v>
      </c>
      <c r="K33" s="8" t="s">
        <v>230</v>
      </c>
      <c r="L33" s="8" t="s">
        <v>52</v>
      </c>
      <c r="M33" s="8" t="s">
        <v>215</v>
      </c>
      <c r="N33" s="8" t="s">
        <v>231</v>
      </c>
      <c r="O33" s="8" t="s">
        <v>225</v>
      </c>
      <c r="P33" s="8" t="s">
        <v>56</v>
      </c>
      <c r="Q33" s="8" t="s">
        <v>232</v>
      </c>
    </row>
    <row r="34" spans="1:17" ht="45" x14ac:dyDescent="0.25">
      <c r="A34" s="8" t="s">
        <v>233</v>
      </c>
      <c r="B34" s="8" t="s">
        <v>209</v>
      </c>
      <c r="C34" s="8" t="s">
        <v>26</v>
      </c>
      <c r="D34" s="8" t="s">
        <v>234</v>
      </c>
      <c r="E34" s="8" t="s">
        <v>211</v>
      </c>
      <c r="F34" s="8" t="s">
        <v>235</v>
      </c>
      <c r="G34" s="8" t="s">
        <v>49</v>
      </c>
      <c r="H34" s="9">
        <v>7.8</v>
      </c>
      <c r="I34" s="9">
        <v>7.8</v>
      </c>
      <c r="J34" s="8" t="s">
        <v>118</v>
      </c>
      <c r="K34" s="8" t="s">
        <v>236</v>
      </c>
      <c r="L34" s="8" t="s">
        <v>52</v>
      </c>
      <c r="M34" s="8" t="s">
        <v>215</v>
      </c>
      <c r="N34" s="8" t="s">
        <v>137</v>
      </c>
      <c r="O34" s="8" t="s">
        <v>225</v>
      </c>
      <c r="P34" s="8" t="s">
        <v>56</v>
      </c>
      <c r="Q34" s="8"/>
    </row>
    <row r="35" spans="1:17" ht="45" x14ac:dyDescent="0.25">
      <c r="A35" s="8" t="s">
        <v>237</v>
      </c>
      <c r="B35" s="8" t="s">
        <v>209</v>
      </c>
      <c r="C35" s="8" t="s">
        <v>26</v>
      </c>
      <c r="D35" s="8" t="s">
        <v>238</v>
      </c>
      <c r="E35" s="8" t="s">
        <v>211</v>
      </c>
      <c r="F35" s="8" t="s">
        <v>212</v>
      </c>
      <c r="G35" s="8" t="s">
        <v>49</v>
      </c>
      <c r="H35" s="9">
        <v>6.6</v>
      </c>
      <c r="I35" s="9">
        <v>6.6</v>
      </c>
      <c r="J35" s="8" t="s">
        <v>239</v>
      </c>
      <c r="K35" s="8" t="s">
        <v>240</v>
      </c>
      <c r="L35" s="8" t="s">
        <v>52</v>
      </c>
      <c r="M35" s="8" t="s">
        <v>215</v>
      </c>
      <c r="N35" s="8" t="s">
        <v>241</v>
      </c>
      <c r="O35" s="8" t="s">
        <v>225</v>
      </c>
      <c r="P35" s="8" t="s">
        <v>56</v>
      </c>
      <c r="Q35" s="8" t="s">
        <v>242</v>
      </c>
    </row>
    <row r="36" spans="1:17" ht="45" x14ac:dyDescent="0.25">
      <c r="A36" s="8" t="s">
        <v>243</v>
      </c>
      <c r="B36" s="8" t="s">
        <v>209</v>
      </c>
      <c r="C36" s="8" t="s">
        <v>26</v>
      </c>
      <c r="D36" s="8" t="s">
        <v>244</v>
      </c>
      <c r="E36" s="8" t="s">
        <v>211</v>
      </c>
      <c r="F36" s="8" t="s">
        <v>245</v>
      </c>
      <c r="G36" s="8" t="s">
        <v>49</v>
      </c>
      <c r="H36" s="9">
        <v>14.1</v>
      </c>
      <c r="I36" s="9">
        <v>14.1</v>
      </c>
      <c r="J36" s="8" t="s">
        <v>188</v>
      </c>
      <c r="K36" s="8" t="s">
        <v>246</v>
      </c>
      <c r="L36" s="8" t="s">
        <v>247</v>
      </c>
      <c r="M36" s="8" t="s">
        <v>215</v>
      </c>
      <c r="N36" s="8" t="s">
        <v>248</v>
      </c>
      <c r="O36" s="8" t="s">
        <v>225</v>
      </c>
      <c r="P36" s="8" t="s">
        <v>56</v>
      </c>
      <c r="Q36" s="8" t="s">
        <v>249</v>
      </c>
    </row>
    <row r="37" spans="1:17" ht="45" x14ac:dyDescent="0.25">
      <c r="A37" s="8" t="s">
        <v>250</v>
      </c>
      <c r="B37" s="8" t="s">
        <v>209</v>
      </c>
      <c r="C37" s="8" t="s">
        <v>26</v>
      </c>
      <c r="D37" s="8" t="s">
        <v>251</v>
      </c>
      <c r="E37" s="8" t="s">
        <v>211</v>
      </c>
      <c r="F37" s="8" t="s">
        <v>252</v>
      </c>
      <c r="G37" s="8" t="s">
        <v>49</v>
      </c>
      <c r="H37" s="9">
        <v>15.6</v>
      </c>
      <c r="I37" s="9">
        <v>15.6</v>
      </c>
      <c r="J37" s="8" t="s">
        <v>118</v>
      </c>
      <c r="K37" s="8" t="s">
        <v>253</v>
      </c>
      <c r="L37" s="8" t="s">
        <v>254</v>
      </c>
      <c r="M37" s="8" t="s">
        <v>215</v>
      </c>
      <c r="N37" s="8" t="s">
        <v>255</v>
      </c>
      <c r="O37" s="8" t="s">
        <v>225</v>
      </c>
      <c r="P37" s="8" t="s">
        <v>56</v>
      </c>
      <c r="Q37" s="8" t="s">
        <v>256</v>
      </c>
    </row>
    <row r="38" spans="1:17" ht="45" x14ac:dyDescent="0.25">
      <c r="A38" s="8" t="s">
        <v>257</v>
      </c>
      <c r="B38" s="8" t="s">
        <v>258</v>
      </c>
      <c r="C38" s="8" t="s">
        <v>27</v>
      </c>
      <c r="D38" s="8" t="s">
        <v>259</v>
      </c>
      <c r="E38" s="8" t="s">
        <v>260</v>
      </c>
      <c r="F38" s="8" t="s">
        <v>48</v>
      </c>
      <c r="G38" s="8" t="s">
        <v>49</v>
      </c>
      <c r="H38" s="9">
        <v>7</v>
      </c>
      <c r="I38" s="9">
        <v>7</v>
      </c>
      <c r="J38" s="8" t="s">
        <v>261</v>
      </c>
      <c r="K38" s="8" t="s">
        <v>262</v>
      </c>
      <c r="L38" s="8" t="s">
        <v>263</v>
      </c>
      <c r="M38" s="8" t="s">
        <v>264</v>
      </c>
      <c r="N38" s="8" t="s">
        <v>265</v>
      </c>
      <c r="O38" s="8" t="s">
        <v>266</v>
      </c>
      <c r="P38" s="8" t="s">
        <v>56</v>
      </c>
      <c r="Q38" s="8" t="s">
        <v>267</v>
      </c>
    </row>
    <row r="39" spans="1:17" ht="60" x14ac:dyDescent="0.25">
      <c r="A39" s="8" t="s">
        <v>268</v>
      </c>
      <c r="B39" s="8" t="s">
        <v>258</v>
      </c>
      <c r="C39" s="8" t="s">
        <v>27</v>
      </c>
      <c r="D39" s="8" t="s">
        <v>259</v>
      </c>
      <c r="E39" s="8" t="s">
        <v>260</v>
      </c>
      <c r="F39" s="8" t="s">
        <v>59</v>
      </c>
      <c r="G39" s="8" t="s">
        <v>49</v>
      </c>
      <c r="H39" s="9">
        <v>7</v>
      </c>
      <c r="I39" s="9">
        <v>7</v>
      </c>
      <c r="J39" s="8" t="s">
        <v>261</v>
      </c>
      <c r="K39" s="8" t="s">
        <v>269</v>
      </c>
      <c r="L39" s="8" t="s">
        <v>263</v>
      </c>
      <c r="M39" s="8" t="s">
        <v>270</v>
      </c>
      <c r="N39" s="8" t="s">
        <v>271</v>
      </c>
      <c r="O39" s="8" t="s">
        <v>272</v>
      </c>
      <c r="P39" s="8" t="s">
        <v>273</v>
      </c>
      <c r="Q39" s="8" t="s">
        <v>274</v>
      </c>
    </row>
    <row r="40" spans="1:17" ht="30" x14ac:dyDescent="0.25">
      <c r="A40" s="8" t="s">
        <v>275</v>
      </c>
      <c r="B40" s="8" t="s">
        <v>276</v>
      </c>
      <c r="C40" s="8" t="s">
        <v>27</v>
      </c>
      <c r="D40" s="8" t="s">
        <v>277</v>
      </c>
      <c r="E40" s="8" t="s">
        <v>278</v>
      </c>
      <c r="F40" s="8" t="s">
        <v>279</v>
      </c>
      <c r="G40" s="8" t="s">
        <v>49</v>
      </c>
      <c r="H40" s="9">
        <v>10</v>
      </c>
      <c r="I40" s="9">
        <v>10</v>
      </c>
      <c r="J40" s="8" t="s">
        <v>280</v>
      </c>
      <c r="K40" s="8" t="s">
        <v>281</v>
      </c>
      <c r="L40" s="8" t="s">
        <v>52</v>
      </c>
      <c r="M40" s="8" t="s">
        <v>282</v>
      </c>
      <c r="N40" s="8" t="s">
        <v>283</v>
      </c>
      <c r="O40" s="8" t="s">
        <v>284</v>
      </c>
      <c r="P40" s="8" t="s">
        <v>56</v>
      </c>
      <c r="Q40" s="8" t="s">
        <v>285</v>
      </c>
    </row>
    <row r="41" spans="1:17" ht="30" x14ac:dyDescent="0.25">
      <c r="A41" s="8" t="s">
        <v>286</v>
      </c>
      <c r="B41" s="8" t="s">
        <v>276</v>
      </c>
      <c r="C41" s="8" t="s">
        <v>27</v>
      </c>
      <c r="D41" s="8" t="s">
        <v>287</v>
      </c>
      <c r="E41" s="8" t="s">
        <v>288</v>
      </c>
      <c r="F41" s="8" t="s">
        <v>48</v>
      </c>
      <c r="G41" s="8" t="s">
        <v>49</v>
      </c>
      <c r="H41" s="9">
        <v>4</v>
      </c>
      <c r="I41" s="9">
        <v>4.5</v>
      </c>
      <c r="J41" s="8" t="s">
        <v>289</v>
      </c>
      <c r="K41" s="8" t="s">
        <v>290</v>
      </c>
      <c r="L41" s="8" t="s">
        <v>52</v>
      </c>
      <c r="M41" s="8" t="s">
        <v>282</v>
      </c>
      <c r="N41" s="8" t="s">
        <v>291</v>
      </c>
      <c r="O41" s="8" t="s">
        <v>292</v>
      </c>
      <c r="P41" s="8" t="s">
        <v>56</v>
      </c>
      <c r="Q41" s="8"/>
    </row>
    <row r="42" spans="1:17" ht="30" x14ac:dyDescent="0.25">
      <c r="A42" s="8" t="s">
        <v>293</v>
      </c>
      <c r="B42" s="8" t="s">
        <v>276</v>
      </c>
      <c r="C42" s="8" t="s">
        <v>27</v>
      </c>
      <c r="D42" s="8" t="s">
        <v>287</v>
      </c>
      <c r="E42" s="8" t="s">
        <v>288</v>
      </c>
      <c r="F42" s="8" t="s">
        <v>59</v>
      </c>
      <c r="G42" s="8" t="s">
        <v>49</v>
      </c>
      <c r="H42" s="9">
        <v>4</v>
      </c>
      <c r="I42" s="9">
        <v>4.5</v>
      </c>
      <c r="J42" s="8" t="s">
        <v>289</v>
      </c>
      <c r="K42" s="8" t="s">
        <v>294</v>
      </c>
      <c r="L42" s="8" t="s">
        <v>52</v>
      </c>
      <c r="M42" s="8" t="s">
        <v>282</v>
      </c>
      <c r="N42" s="8" t="s">
        <v>62</v>
      </c>
      <c r="O42" s="8" t="s">
        <v>292</v>
      </c>
      <c r="P42" s="8" t="s">
        <v>56</v>
      </c>
      <c r="Q42" s="8"/>
    </row>
    <row r="43" spans="1:17" ht="30" x14ac:dyDescent="0.25">
      <c r="A43" s="8" t="s">
        <v>295</v>
      </c>
      <c r="B43" s="8" t="s">
        <v>276</v>
      </c>
      <c r="C43" s="8" t="s">
        <v>27</v>
      </c>
      <c r="D43" s="8" t="s">
        <v>287</v>
      </c>
      <c r="E43" s="8" t="s">
        <v>288</v>
      </c>
      <c r="F43" s="8" t="s">
        <v>85</v>
      </c>
      <c r="G43" s="8" t="s">
        <v>49</v>
      </c>
      <c r="H43" s="9">
        <v>4</v>
      </c>
      <c r="I43" s="9">
        <v>4.5</v>
      </c>
      <c r="J43" s="8" t="s">
        <v>289</v>
      </c>
      <c r="K43" s="8" t="s">
        <v>296</v>
      </c>
      <c r="L43" s="8" t="s">
        <v>52</v>
      </c>
      <c r="M43" s="8" t="s">
        <v>282</v>
      </c>
      <c r="N43" s="8" t="s">
        <v>62</v>
      </c>
      <c r="O43" s="8" t="s">
        <v>292</v>
      </c>
      <c r="P43" s="8" t="s">
        <v>56</v>
      </c>
      <c r="Q43" s="8"/>
    </row>
    <row r="44" spans="1:17" ht="45" x14ac:dyDescent="0.25">
      <c r="A44" s="8" t="s">
        <v>297</v>
      </c>
      <c r="B44" s="8" t="s">
        <v>276</v>
      </c>
      <c r="C44" s="8" t="s">
        <v>27</v>
      </c>
      <c r="D44" s="8" t="s">
        <v>298</v>
      </c>
      <c r="E44" s="8" t="s">
        <v>299</v>
      </c>
      <c r="F44" s="8" t="s">
        <v>48</v>
      </c>
      <c r="G44" s="8" t="s">
        <v>49</v>
      </c>
      <c r="H44" s="9">
        <v>4.5</v>
      </c>
      <c r="I44" s="9">
        <v>5</v>
      </c>
      <c r="J44" s="8" t="s">
        <v>300</v>
      </c>
      <c r="K44" s="8" t="s">
        <v>301</v>
      </c>
      <c r="L44" s="8" t="s">
        <v>52</v>
      </c>
      <c r="M44" s="8" t="s">
        <v>302</v>
      </c>
      <c r="N44" s="8" t="s">
        <v>197</v>
      </c>
      <c r="O44" s="8" t="s">
        <v>303</v>
      </c>
      <c r="P44" s="8" t="s">
        <v>56</v>
      </c>
      <c r="Q44" s="8"/>
    </row>
    <row r="45" spans="1:17" ht="45" x14ac:dyDescent="0.25">
      <c r="A45" s="8" t="s">
        <v>304</v>
      </c>
      <c r="B45" s="8" t="s">
        <v>276</v>
      </c>
      <c r="C45" s="8" t="s">
        <v>27</v>
      </c>
      <c r="D45" s="8" t="s">
        <v>298</v>
      </c>
      <c r="E45" s="8" t="s">
        <v>299</v>
      </c>
      <c r="F45" s="8" t="s">
        <v>59</v>
      </c>
      <c r="G45" s="8" t="s">
        <v>49</v>
      </c>
      <c r="H45" s="9">
        <v>4.5</v>
      </c>
      <c r="I45" s="9">
        <v>5</v>
      </c>
      <c r="J45" s="8" t="s">
        <v>300</v>
      </c>
      <c r="K45" s="8" t="s">
        <v>305</v>
      </c>
      <c r="L45" s="8" t="s">
        <v>52</v>
      </c>
      <c r="M45" s="8" t="s">
        <v>302</v>
      </c>
      <c r="N45" s="8" t="s">
        <v>197</v>
      </c>
      <c r="O45" s="8" t="s">
        <v>303</v>
      </c>
      <c r="P45" s="8" t="s">
        <v>56</v>
      </c>
      <c r="Q45" s="8"/>
    </row>
    <row r="46" spans="1:17" ht="45" x14ac:dyDescent="0.25">
      <c r="A46" s="8" t="s">
        <v>306</v>
      </c>
      <c r="B46" s="8" t="s">
        <v>276</v>
      </c>
      <c r="C46" s="8" t="s">
        <v>27</v>
      </c>
      <c r="D46" s="8" t="s">
        <v>298</v>
      </c>
      <c r="E46" s="8" t="s">
        <v>299</v>
      </c>
      <c r="F46" s="8" t="s">
        <v>85</v>
      </c>
      <c r="G46" s="8" t="s">
        <v>49</v>
      </c>
      <c r="H46" s="9">
        <v>4.5</v>
      </c>
      <c r="I46" s="9">
        <v>5</v>
      </c>
      <c r="J46" s="8" t="s">
        <v>307</v>
      </c>
      <c r="K46" s="8" t="s">
        <v>308</v>
      </c>
      <c r="L46" s="8" t="s">
        <v>52</v>
      </c>
      <c r="M46" s="8" t="s">
        <v>302</v>
      </c>
      <c r="N46" s="8" t="s">
        <v>197</v>
      </c>
      <c r="O46" s="8" t="s">
        <v>303</v>
      </c>
      <c r="P46" s="8" t="s">
        <v>56</v>
      </c>
      <c r="Q46" s="8"/>
    </row>
    <row r="47" spans="1:17" ht="30" x14ac:dyDescent="0.25">
      <c r="A47" s="8" t="s">
        <v>309</v>
      </c>
      <c r="B47" s="8" t="s">
        <v>276</v>
      </c>
      <c r="C47" s="8" t="s">
        <v>27</v>
      </c>
      <c r="D47" s="8" t="s">
        <v>310</v>
      </c>
      <c r="E47" s="8" t="s">
        <v>311</v>
      </c>
      <c r="F47" s="8" t="s">
        <v>171</v>
      </c>
      <c r="G47" s="8" t="s">
        <v>49</v>
      </c>
      <c r="H47" s="9">
        <v>5.25</v>
      </c>
      <c r="I47" s="9">
        <v>5.25</v>
      </c>
      <c r="J47" s="8" t="s">
        <v>312</v>
      </c>
      <c r="K47" s="8" t="s">
        <v>313</v>
      </c>
      <c r="L47" s="8" t="s">
        <v>52</v>
      </c>
      <c r="M47" s="8" t="s">
        <v>314</v>
      </c>
      <c r="N47" s="8" t="s">
        <v>315</v>
      </c>
      <c r="O47" s="8" t="s">
        <v>316</v>
      </c>
      <c r="P47" s="8" t="s">
        <v>56</v>
      </c>
      <c r="Q47" s="8"/>
    </row>
    <row r="48" spans="1:17" ht="30" x14ac:dyDescent="0.25">
      <c r="A48" s="8" t="s">
        <v>317</v>
      </c>
      <c r="B48" s="8" t="s">
        <v>276</v>
      </c>
      <c r="C48" s="8" t="s">
        <v>27</v>
      </c>
      <c r="D48" s="8" t="s">
        <v>318</v>
      </c>
      <c r="E48" s="8" t="s">
        <v>319</v>
      </c>
      <c r="F48" s="8" t="s">
        <v>320</v>
      </c>
      <c r="G48" s="8" t="s">
        <v>49</v>
      </c>
      <c r="H48" s="9">
        <v>2.5</v>
      </c>
      <c r="I48" s="9">
        <v>2.5</v>
      </c>
      <c r="J48" s="8" t="s">
        <v>321</v>
      </c>
      <c r="K48" s="8" t="s">
        <v>322</v>
      </c>
      <c r="L48" s="8" t="s">
        <v>52</v>
      </c>
      <c r="M48" s="8" t="s">
        <v>323</v>
      </c>
      <c r="N48" s="8" t="s">
        <v>136</v>
      </c>
      <c r="O48" s="8" t="s">
        <v>324</v>
      </c>
      <c r="P48" s="8" t="s">
        <v>56</v>
      </c>
      <c r="Q48" s="8" t="s">
        <v>325</v>
      </c>
    </row>
    <row r="49" spans="1:17" ht="30" x14ac:dyDescent="0.25">
      <c r="A49" s="8" t="s">
        <v>326</v>
      </c>
      <c r="B49" s="8" t="s">
        <v>276</v>
      </c>
      <c r="C49" s="8" t="s">
        <v>27</v>
      </c>
      <c r="D49" s="8" t="s">
        <v>327</v>
      </c>
      <c r="E49" s="8" t="s">
        <v>327</v>
      </c>
      <c r="F49" s="8" t="s">
        <v>48</v>
      </c>
      <c r="G49" s="8" t="s">
        <v>49</v>
      </c>
      <c r="H49" s="9">
        <v>5.0999999999999996</v>
      </c>
      <c r="I49" s="9">
        <v>5</v>
      </c>
      <c r="J49" s="8" t="s">
        <v>328</v>
      </c>
      <c r="K49" s="8" t="s">
        <v>329</v>
      </c>
      <c r="L49" s="8" t="s">
        <v>52</v>
      </c>
      <c r="M49" s="8" t="s">
        <v>282</v>
      </c>
      <c r="N49" s="8" t="s">
        <v>330</v>
      </c>
      <c r="O49" s="8" t="s">
        <v>331</v>
      </c>
      <c r="P49" s="8" t="s">
        <v>56</v>
      </c>
      <c r="Q49" s="8" t="s">
        <v>332</v>
      </c>
    </row>
    <row r="50" spans="1:17" ht="30" x14ac:dyDescent="0.25">
      <c r="A50" s="8" t="s">
        <v>333</v>
      </c>
      <c r="B50" s="8" t="s">
        <v>276</v>
      </c>
      <c r="C50" s="8" t="s">
        <v>27</v>
      </c>
      <c r="D50" s="8" t="s">
        <v>327</v>
      </c>
      <c r="E50" s="8" t="s">
        <v>327</v>
      </c>
      <c r="F50" s="8" t="s">
        <v>59</v>
      </c>
      <c r="G50" s="8" t="s">
        <v>49</v>
      </c>
      <c r="H50" s="9">
        <v>5.0999999999999996</v>
      </c>
      <c r="I50" s="9">
        <v>5</v>
      </c>
      <c r="J50" s="8" t="s">
        <v>328</v>
      </c>
      <c r="K50" s="8" t="s">
        <v>334</v>
      </c>
      <c r="L50" s="8" t="s">
        <v>52</v>
      </c>
      <c r="M50" s="8" t="s">
        <v>282</v>
      </c>
      <c r="N50" s="8" t="s">
        <v>62</v>
      </c>
      <c r="O50" s="8" t="s">
        <v>327</v>
      </c>
      <c r="P50" s="8" t="s">
        <v>56</v>
      </c>
      <c r="Q50" s="8"/>
    </row>
    <row r="51" spans="1:17" ht="30" x14ac:dyDescent="0.25">
      <c r="A51" s="8" t="s">
        <v>335</v>
      </c>
      <c r="B51" s="8" t="s">
        <v>276</v>
      </c>
      <c r="C51" s="8" t="s">
        <v>27</v>
      </c>
      <c r="D51" s="8" t="s">
        <v>327</v>
      </c>
      <c r="E51" s="8" t="s">
        <v>327</v>
      </c>
      <c r="F51" s="8" t="s">
        <v>85</v>
      </c>
      <c r="G51" s="8" t="s">
        <v>49</v>
      </c>
      <c r="H51" s="9">
        <v>5.0999999999999996</v>
      </c>
      <c r="I51" s="9">
        <v>5</v>
      </c>
      <c r="J51" s="8" t="s">
        <v>328</v>
      </c>
      <c r="K51" s="8" t="s">
        <v>336</v>
      </c>
      <c r="L51" s="8" t="s">
        <v>52</v>
      </c>
      <c r="M51" s="8" t="s">
        <v>282</v>
      </c>
      <c r="N51" s="8" t="s">
        <v>62</v>
      </c>
      <c r="O51" s="8" t="s">
        <v>327</v>
      </c>
      <c r="P51" s="8" t="s">
        <v>56</v>
      </c>
      <c r="Q51" s="8"/>
    </row>
    <row r="52" spans="1:17" ht="45" x14ac:dyDescent="0.25">
      <c r="A52" s="8" t="s">
        <v>337</v>
      </c>
      <c r="B52" s="8" t="s">
        <v>276</v>
      </c>
      <c r="C52" s="8" t="s">
        <v>27</v>
      </c>
      <c r="D52" s="8" t="s">
        <v>338</v>
      </c>
      <c r="E52" s="8" t="s">
        <v>299</v>
      </c>
      <c r="F52" s="8" t="s">
        <v>48</v>
      </c>
      <c r="G52" s="8" t="s">
        <v>49</v>
      </c>
      <c r="H52" s="9">
        <v>4.5</v>
      </c>
      <c r="I52" s="9">
        <v>5</v>
      </c>
      <c r="J52" s="8" t="s">
        <v>339</v>
      </c>
      <c r="K52" s="8" t="s">
        <v>340</v>
      </c>
      <c r="L52" s="8" t="s">
        <v>52</v>
      </c>
      <c r="M52" s="8" t="s">
        <v>341</v>
      </c>
      <c r="N52" s="8" t="s">
        <v>342</v>
      </c>
      <c r="O52" s="8" t="s">
        <v>343</v>
      </c>
      <c r="P52" s="8" t="s">
        <v>56</v>
      </c>
      <c r="Q52" s="8" t="s">
        <v>344</v>
      </c>
    </row>
    <row r="53" spans="1:17" ht="45" x14ac:dyDescent="0.25">
      <c r="A53" s="8" t="s">
        <v>345</v>
      </c>
      <c r="B53" s="8" t="s">
        <v>276</v>
      </c>
      <c r="C53" s="8" t="s">
        <v>27</v>
      </c>
      <c r="D53" s="8" t="s">
        <v>338</v>
      </c>
      <c r="E53" s="8" t="s">
        <v>299</v>
      </c>
      <c r="F53" s="8" t="s">
        <v>59</v>
      </c>
      <c r="G53" s="8" t="s">
        <v>49</v>
      </c>
      <c r="H53" s="9">
        <v>4.5</v>
      </c>
      <c r="I53" s="9">
        <v>5</v>
      </c>
      <c r="J53" s="8" t="s">
        <v>339</v>
      </c>
      <c r="K53" s="8" t="s">
        <v>346</v>
      </c>
      <c r="L53" s="8" t="s">
        <v>52</v>
      </c>
      <c r="M53" s="8" t="s">
        <v>302</v>
      </c>
      <c r="N53" s="8" t="s">
        <v>347</v>
      </c>
      <c r="O53" s="8" t="s">
        <v>303</v>
      </c>
      <c r="P53" s="8" t="s">
        <v>56</v>
      </c>
      <c r="Q53" s="8"/>
    </row>
    <row r="54" spans="1:17" ht="45" x14ac:dyDescent="0.25">
      <c r="A54" s="8" t="s">
        <v>348</v>
      </c>
      <c r="B54" s="8" t="s">
        <v>276</v>
      </c>
      <c r="C54" s="8" t="s">
        <v>27</v>
      </c>
      <c r="D54" s="8" t="s">
        <v>338</v>
      </c>
      <c r="E54" s="8" t="s">
        <v>299</v>
      </c>
      <c r="F54" s="8" t="s">
        <v>85</v>
      </c>
      <c r="G54" s="8" t="s">
        <v>49</v>
      </c>
      <c r="H54" s="9">
        <v>4.5</v>
      </c>
      <c r="I54" s="9">
        <v>5</v>
      </c>
      <c r="J54" s="8" t="s">
        <v>339</v>
      </c>
      <c r="K54" s="8" t="s">
        <v>349</v>
      </c>
      <c r="L54" s="8" t="s">
        <v>52</v>
      </c>
      <c r="M54" s="8" t="s">
        <v>302</v>
      </c>
      <c r="N54" s="8" t="s">
        <v>197</v>
      </c>
      <c r="O54" s="8" t="s">
        <v>303</v>
      </c>
      <c r="P54" s="8" t="s">
        <v>56</v>
      </c>
      <c r="Q54" s="8"/>
    </row>
    <row r="55" spans="1:17" ht="45" x14ac:dyDescent="0.25">
      <c r="A55" s="8" t="s">
        <v>350</v>
      </c>
      <c r="B55" s="8" t="s">
        <v>276</v>
      </c>
      <c r="C55" s="8" t="s">
        <v>27</v>
      </c>
      <c r="D55" s="8" t="s">
        <v>338</v>
      </c>
      <c r="E55" s="8" t="s">
        <v>299</v>
      </c>
      <c r="F55" s="8" t="s">
        <v>113</v>
      </c>
      <c r="G55" s="8" t="s">
        <v>49</v>
      </c>
      <c r="H55" s="9">
        <v>4.5</v>
      </c>
      <c r="I55" s="9">
        <v>5</v>
      </c>
      <c r="J55" s="8" t="s">
        <v>339</v>
      </c>
      <c r="K55" s="8" t="s">
        <v>351</v>
      </c>
      <c r="L55" s="8" t="s">
        <v>52</v>
      </c>
      <c r="M55" s="8" t="s">
        <v>302</v>
      </c>
      <c r="N55" s="8" t="s">
        <v>197</v>
      </c>
      <c r="O55" s="8" t="s">
        <v>303</v>
      </c>
      <c r="P55" s="8" t="s">
        <v>56</v>
      </c>
      <c r="Q55" s="8"/>
    </row>
    <row r="56" spans="1:17" ht="45" x14ac:dyDescent="0.25">
      <c r="A56" s="8" t="s">
        <v>352</v>
      </c>
      <c r="B56" s="8" t="s">
        <v>276</v>
      </c>
      <c r="C56" s="8" t="s">
        <v>27</v>
      </c>
      <c r="D56" s="8" t="s">
        <v>338</v>
      </c>
      <c r="E56" s="8" t="s">
        <v>299</v>
      </c>
      <c r="F56" s="8" t="s">
        <v>117</v>
      </c>
      <c r="G56" s="8" t="s">
        <v>49</v>
      </c>
      <c r="H56" s="9">
        <v>4.5</v>
      </c>
      <c r="I56" s="9">
        <v>5</v>
      </c>
      <c r="J56" s="8" t="s">
        <v>353</v>
      </c>
      <c r="K56" s="8" t="s">
        <v>354</v>
      </c>
      <c r="L56" s="8" t="s">
        <v>52</v>
      </c>
      <c r="M56" s="8" t="s">
        <v>302</v>
      </c>
      <c r="N56" s="8" t="s">
        <v>197</v>
      </c>
      <c r="O56" s="8" t="s">
        <v>303</v>
      </c>
      <c r="P56" s="8" t="s">
        <v>56</v>
      </c>
      <c r="Q56" s="8"/>
    </row>
    <row r="57" spans="1:17" ht="45" x14ac:dyDescent="0.25">
      <c r="A57" s="8" t="s">
        <v>355</v>
      </c>
      <c r="B57" s="8" t="s">
        <v>276</v>
      </c>
      <c r="C57" s="8" t="s">
        <v>27</v>
      </c>
      <c r="D57" s="8" t="s">
        <v>338</v>
      </c>
      <c r="E57" s="8" t="s">
        <v>299</v>
      </c>
      <c r="F57" s="8" t="s">
        <v>229</v>
      </c>
      <c r="G57" s="8" t="s">
        <v>49</v>
      </c>
      <c r="H57" s="9">
        <v>4.5</v>
      </c>
      <c r="I57" s="9">
        <v>5</v>
      </c>
      <c r="J57" s="8" t="s">
        <v>356</v>
      </c>
      <c r="K57" s="8" t="s">
        <v>357</v>
      </c>
      <c r="L57" s="8" t="s">
        <v>52</v>
      </c>
      <c r="M57" s="8" t="s">
        <v>302</v>
      </c>
      <c r="N57" s="8" t="s">
        <v>197</v>
      </c>
      <c r="O57" s="8" t="s">
        <v>303</v>
      </c>
      <c r="P57" s="8" t="s">
        <v>56</v>
      </c>
      <c r="Q57" s="8"/>
    </row>
    <row r="58" spans="1:17" ht="30" x14ac:dyDescent="0.25">
      <c r="A58" s="8" t="s">
        <v>358</v>
      </c>
      <c r="B58" s="8" t="s">
        <v>359</v>
      </c>
      <c r="C58" s="8" t="s">
        <v>28</v>
      </c>
      <c r="D58" s="8" t="s">
        <v>360</v>
      </c>
      <c r="E58" s="8" t="s">
        <v>361</v>
      </c>
      <c r="F58" s="8" t="s">
        <v>48</v>
      </c>
      <c r="G58" s="8" t="s">
        <v>49</v>
      </c>
      <c r="H58" s="9">
        <v>4.8</v>
      </c>
      <c r="I58" s="9">
        <v>4.5</v>
      </c>
      <c r="J58" s="8" t="s">
        <v>362</v>
      </c>
      <c r="K58" s="8" t="s">
        <v>363</v>
      </c>
      <c r="L58" s="8" t="s">
        <v>52</v>
      </c>
      <c r="M58" s="8" t="s">
        <v>364</v>
      </c>
      <c r="N58" s="8" t="s">
        <v>365</v>
      </c>
      <c r="O58" s="8" t="s">
        <v>366</v>
      </c>
      <c r="P58" s="8" t="s">
        <v>56</v>
      </c>
      <c r="Q58" s="8" t="s">
        <v>367</v>
      </c>
    </row>
    <row r="59" spans="1:17" ht="30" x14ac:dyDescent="0.25">
      <c r="A59" s="8" t="s">
        <v>368</v>
      </c>
      <c r="B59" s="8" t="s">
        <v>359</v>
      </c>
      <c r="C59" s="8" t="s">
        <v>28</v>
      </c>
      <c r="D59" s="8" t="s">
        <v>360</v>
      </c>
      <c r="E59" s="8" t="s">
        <v>361</v>
      </c>
      <c r="F59" s="8" t="s">
        <v>59</v>
      </c>
      <c r="G59" s="8" t="s">
        <v>49</v>
      </c>
      <c r="H59" s="9">
        <v>4.8</v>
      </c>
      <c r="I59" s="9">
        <v>4.5</v>
      </c>
      <c r="J59" s="8" t="s">
        <v>362</v>
      </c>
      <c r="K59" s="8" t="s">
        <v>369</v>
      </c>
      <c r="L59" s="8" t="s">
        <v>52</v>
      </c>
      <c r="M59" s="8" t="s">
        <v>62</v>
      </c>
      <c r="N59" s="8" t="s">
        <v>62</v>
      </c>
      <c r="O59" s="8" t="s">
        <v>62</v>
      </c>
      <c r="P59" s="8" t="s">
        <v>56</v>
      </c>
      <c r="Q59" s="8"/>
    </row>
    <row r="60" spans="1:17" ht="30" x14ac:dyDescent="0.25">
      <c r="A60" s="8" t="s">
        <v>370</v>
      </c>
      <c r="B60" s="8" t="s">
        <v>359</v>
      </c>
      <c r="C60" s="8" t="s">
        <v>28</v>
      </c>
      <c r="D60" s="8" t="s">
        <v>371</v>
      </c>
      <c r="E60" s="8" t="s">
        <v>372</v>
      </c>
      <c r="F60" s="8" t="s">
        <v>48</v>
      </c>
      <c r="G60" s="8" t="s">
        <v>49</v>
      </c>
      <c r="H60" s="9">
        <v>5.5</v>
      </c>
      <c r="I60" s="9">
        <v>5</v>
      </c>
      <c r="J60" s="8" t="s">
        <v>373</v>
      </c>
      <c r="K60" s="8" t="s">
        <v>374</v>
      </c>
      <c r="L60" s="8" t="s">
        <v>52</v>
      </c>
      <c r="M60" s="8" t="s">
        <v>375</v>
      </c>
      <c r="N60" s="8" t="s">
        <v>376</v>
      </c>
      <c r="O60" s="8" t="s">
        <v>377</v>
      </c>
      <c r="P60" s="8" t="s">
        <v>56</v>
      </c>
      <c r="Q60" s="8"/>
    </row>
    <row r="61" spans="1:17" ht="30" x14ac:dyDescent="0.25">
      <c r="A61" s="8" t="s">
        <v>378</v>
      </c>
      <c r="B61" s="8" t="s">
        <v>359</v>
      </c>
      <c r="C61" s="8" t="s">
        <v>28</v>
      </c>
      <c r="D61" s="8" t="s">
        <v>371</v>
      </c>
      <c r="E61" s="8" t="s">
        <v>372</v>
      </c>
      <c r="F61" s="8" t="s">
        <v>59</v>
      </c>
      <c r="G61" s="8" t="s">
        <v>49</v>
      </c>
      <c r="H61" s="9">
        <v>5.5</v>
      </c>
      <c r="I61" s="9">
        <v>5</v>
      </c>
      <c r="J61" s="8" t="s">
        <v>373</v>
      </c>
      <c r="K61" s="8" t="s">
        <v>379</v>
      </c>
      <c r="L61" s="8" t="s">
        <v>52</v>
      </c>
      <c r="M61" s="8" t="s">
        <v>62</v>
      </c>
      <c r="N61" s="8" t="s">
        <v>62</v>
      </c>
      <c r="O61" s="8" t="s">
        <v>377</v>
      </c>
      <c r="P61" s="8" t="s">
        <v>56</v>
      </c>
      <c r="Q61" s="8"/>
    </row>
    <row r="62" spans="1:17" ht="30" x14ac:dyDescent="0.25">
      <c r="A62" s="8" t="s">
        <v>380</v>
      </c>
      <c r="B62" s="8" t="s">
        <v>359</v>
      </c>
      <c r="C62" s="8" t="s">
        <v>28</v>
      </c>
      <c r="D62" s="8" t="s">
        <v>371</v>
      </c>
      <c r="E62" s="8" t="s">
        <v>372</v>
      </c>
      <c r="F62" s="8" t="s">
        <v>85</v>
      </c>
      <c r="G62" s="8" t="s">
        <v>49</v>
      </c>
      <c r="H62" s="9">
        <v>5.5</v>
      </c>
      <c r="I62" s="9">
        <v>5</v>
      </c>
      <c r="J62" s="8" t="s">
        <v>373</v>
      </c>
      <c r="K62" s="8" t="s">
        <v>381</v>
      </c>
      <c r="L62" s="8" t="s">
        <v>52</v>
      </c>
      <c r="M62" s="8" t="s">
        <v>62</v>
      </c>
      <c r="N62" s="8" t="s">
        <v>62</v>
      </c>
      <c r="O62" s="8" t="s">
        <v>377</v>
      </c>
      <c r="P62" s="8" t="s">
        <v>56</v>
      </c>
      <c r="Q62" s="8"/>
    </row>
    <row r="63" spans="1:17" ht="30" x14ac:dyDescent="0.25">
      <c r="A63" s="8" t="s">
        <v>382</v>
      </c>
      <c r="B63" s="8" t="s">
        <v>359</v>
      </c>
      <c r="C63" s="8" t="s">
        <v>28</v>
      </c>
      <c r="D63" s="8" t="s">
        <v>371</v>
      </c>
      <c r="E63" s="8" t="s">
        <v>377</v>
      </c>
      <c r="F63" s="8" t="s">
        <v>383</v>
      </c>
      <c r="G63" s="8" t="s">
        <v>49</v>
      </c>
      <c r="H63" s="9">
        <v>0.9</v>
      </c>
      <c r="I63" s="9">
        <v>0.9</v>
      </c>
      <c r="J63" s="8" t="s">
        <v>384</v>
      </c>
      <c r="K63" s="8" t="s">
        <v>385</v>
      </c>
      <c r="L63" s="8" t="s">
        <v>52</v>
      </c>
      <c r="M63" s="8" t="s">
        <v>375</v>
      </c>
      <c r="N63" s="8" t="s">
        <v>386</v>
      </c>
      <c r="O63" s="8" t="s">
        <v>377</v>
      </c>
      <c r="P63" s="8" t="s">
        <v>56</v>
      </c>
      <c r="Q63" s="8" t="s">
        <v>387</v>
      </c>
    </row>
    <row r="64" spans="1:17" ht="30" x14ac:dyDescent="0.25">
      <c r="A64" s="8" t="s">
        <v>388</v>
      </c>
      <c r="B64" s="8" t="s">
        <v>389</v>
      </c>
      <c r="C64" s="8" t="s">
        <v>29</v>
      </c>
      <c r="D64" s="8" t="s">
        <v>390</v>
      </c>
      <c r="E64" s="8" t="s">
        <v>391</v>
      </c>
      <c r="F64" s="8" t="s">
        <v>392</v>
      </c>
      <c r="G64" s="8" t="s">
        <v>49</v>
      </c>
      <c r="H64" s="9">
        <v>22.5</v>
      </c>
      <c r="I64" s="9">
        <v>8</v>
      </c>
      <c r="J64" s="8" t="s">
        <v>393</v>
      </c>
      <c r="K64" s="8" t="s">
        <v>394</v>
      </c>
      <c r="L64" s="8" t="s">
        <v>395</v>
      </c>
      <c r="M64" s="8" t="s">
        <v>396</v>
      </c>
      <c r="N64" s="8" t="s">
        <v>397</v>
      </c>
      <c r="O64" s="8" t="s">
        <v>398</v>
      </c>
      <c r="P64" s="8" t="s">
        <v>56</v>
      </c>
      <c r="Q64" s="8" t="s">
        <v>399</v>
      </c>
    </row>
    <row r="65" spans="1:17" ht="45" x14ac:dyDescent="0.25">
      <c r="A65" s="8" t="s">
        <v>400</v>
      </c>
      <c r="B65" s="8" t="s">
        <v>389</v>
      </c>
      <c r="C65" s="8" t="s">
        <v>29</v>
      </c>
      <c r="D65" s="8" t="s">
        <v>401</v>
      </c>
      <c r="E65" s="8" t="s">
        <v>402</v>
      </c>
      <c r="F65" s="8" t="s">
        <v>171</v>
      </c>
      <c r="G65" s="8" t="s">
        <v>49</v>
      </c>
      <c r="H65" s="9">
        <v>2</v>
      </c>
      <c r="I65" s="9">
        <v>1.9</v>
      </c>
      <c r="J65" s="8" t="s">
        <v>403</v>
      </c>
      <c r="K65" s="8" t="s">
        <v>404</v>
      </c>
      <c r="L65" s="8" t="s">
        <v>52</v>
      </c>
      <c r="M65" s="8" t="s">
        <v>405</v>
      </c>
      <c r="N65" s="8" t="s">
        <v>406</v>
      </c>
      <c r="O65" s="8" t="s">
        <v>407</v>
      </c>
      <c r="P65" s="8" t="s">
        <v>56</v>
      </c>
      <c r="Q65" s="8"/>
    </row>
    <row r="66" spans="1:17" ht="30" x14ac:dyDescent="0.25">
      <c r="A66" s="8" t="s">
        <v>408</v>
      </c>
      <c r="B66" s="8" t="s">
        <v>389</v>
      </c>
      <c r="C66" s="8" t="s">
        <v>29</v>
      </c>
      <c r="D66" s="8" t="s">
        <v>409</v>
      </c>
      <c r="E66" s="8" t="s">
        <v>410</v>
      </c>
      <c r="F66" s="8" t="s">
        <v>48</v>
      </c>
      <c r="G66" s="8" t="s">
        <v>49</v>
      </c>
      <c r="H66" s="9">
        <v>3.8</v>
      </c>
      <c r="I66" s="9">
        <v>3.6</v>
      </c>
      <c r="J66" s="8" t="s">
        <v>411</v>
      </c>
      <c r="K66" s="8" t="s">
        <v>412</v>
      </c>
      <c r="L66" s="8" t="s">
        <v>52</v>
      </c>
      <c r="M66" s="8" t="s">
        <v>413</v>
      </c>
      <c r="N66" s="8" t="s">
        <v>414</v>
      </c>
      <c r="O66" s="8" t="s">
        <v>415</v>
      </c>
      <c r="P66" s="8" t="s">
        <v>56</v>
      </c>
      <c r="Q66" s="8"/>
    </row>
    <row r="67" spans="1:17" ht="30" x14ac:dyDescent="0.25">
      <c r="A67" s="8" t="s">
        <v>416</v>
      </c>
      <c r="B67" s="8" t="s">
        <v>389</v>
      </c>
      <c r="C67" s="8" t="s">
        <v>29</v>
      </c>
      <c r="D67" s="8" t="s">
        <v>409</v>
      </c>
      <c r="E67" s="8" t="s">
        <v>410</v>
      </c>
      <c r="F67" s="8" t="s">
        <v>59</v>
      </c>
      <c r="G67" s="8" t="s">
        <v>49</v>
      </c>
      <c r="H67" s="9">
        <v>3.8</v>
      </c>
      <c r="I67" s="9">
        <v>3.6</v>
      </c>
      <c r="J67" s="8" t="s">
        <v>411</v>
      </c>
      <c r="K67" s="8" t="s">
        <v>417</v>
      </c>
      <c r="L67" s="8" t="s">
        <v>52</v>
      </c>
      <c r="M67" s="8" t="s">
        <v>62</v>
      </c>
      <c r="N67" s="8" t="s">
        <v>62</v>
      </c>
      <c r="O67" s="8" t="s">
        <v>415</v>
      </c>
      <c r="P67" s="8" t="s">
        <v>56</v>
      </c>
      <c r="Q67" s="8"/>
    </row>
    <row r="68" spans="1:17" ht="30" x14ac:dyDescent="0.25">
      <c r="A68" s="8" t="s">
        <v>418</v>
      </c>
      <c r="B68" s="8" t="s">
        <v>389</v>
      </c>
      <c r="C68" s="8" t="s">
        <v>29</v>
      </c>
      <c r="D68" s="8" t="s">
        <v>409</v>
      </c>
      <c r="E68" s="8" t="s">
        <v>410</v>
      </c>
      <c r="F68" s="8" t="s">
        <v>85</v>
      </c>
      <c r="G68" s="8" t="s">
        <v>49</v>
      </c>
      <c r="H68" s="9">
        <v>3.8</v>
      </c>
      <c r="I68" s="9">
        <v>3.5</v>
      </c>
      <c r="J68" s="8" t="s">
        <v>419</v>
      </c>
      <c r="K68" s="8" t="s">
        <v>420</v>
      </c>
      <c r="L68" s="8" t="s">
        <v>421</v>
      </c>
      <c r="M68" s="8" t="s">
        <v>62</v>
      </c>
      <c r="N68" s="8" t="s">
        <v>422</v>
      </c>
      <c r="O68" s="8" t="s">
        <v>415</v>
      </c>
      <c r="P68" s="8" t="s">
        <v>56</v>
      </c>
      <c r="Q68" s="8"/>
    </row>
    <row r="69" spans="1:17" x14ac:dyDescent="0.25">
      <c r="A69" s="8" t="s">
        <v>423</v>
      </c>
      <c r="B69" s="8" t="s">
        <v>424</v>
      </c>
      <c r="C69" s="8" t="s">
        <v>29</v>
      </c>
      <c r="D69" s="8" t="s">
        <v>425</v>
      </c>
      <c r="E69" s="8" t="s">
        <v>426</v>
      </c>
      <c r="F69" s="8" t="s">
        <v>427</v>
      </c>
      <c r="G69" s="8" t="s">
        <v>49</v>
      </c>
      <c r="H69" s="9">
        <v>3.6</v>
      </c>
      <c r="I69" s="9">
        <v>3.5</v>
      </c>
      <c r="J69" s="8" t="s">
        <v>230</v>
      </c>
      <c r="K69" s="8" t="s">
        <v>428</v>
      </c>
      <c r="L69" s="8" t="s">
        <v>52</v>
      </c>
      <c r="M69" s="8" t="s">
        <v>429</v>
      </c>
      <c r="N69" s="8" t="s">
        <v>197</v>
      </c>
      <c r="O69" s="8" t="s">
        <v>426</v>
      </c>
      <c r="P69" s="8" t="s">
        <v>56</v>
      </c>
      <c r="Q69" s="8" t="s">
        <v>430</v>
      </c>
    </row>
    <row r="70" spans="1:17" ht="30" x14ac:dyDescent="0.25">
      <c r="A70" s="8" t="s">
        <v>431</v>
      </c>
      <c r="B70" s="8" t="s">
        <v>424</v>
      </c>
      <c r="C70" s="8" t="s">
        <v>29</v>
      </c>
      <c r="D70" s="8" t="s">
        <v>432</v>
      </c>
      <c r="E70" s="8" t="s">
        <v>426</v>
      </c>
      <c r="F70" s="8" t="s">
        <v>433</v>
      </c>
      <c r="G70" s="8" t="s">
        <v>49</v>
      </c>
      <c r="H70" s="9">
        <v>8.4</v>
      </c>
      <c r="I70" s="9">
        <v>7.5</v>
      </c>
      <c r="J70" s="8" t="s">
        <v>434</v>
      </c>
      <c r="K70" s="8" t="s">
        <v>435</v>
      </c>
      <c r="L70" s="8" t="s">
        <v>52</v>
      </c>
      <c r="M70" s="8" t="s">
        <v>429</v>
      </c>
      <c r="N70" s="8" t="s">
        <v>436</v>
      </c>
      <c r="O70" s="8" t="s">
        <v>426</v>
      </c>
      <c r="P70" s="8" t="s">
        <v>56</v>
      </c>
      <c r="Q70" s="8" t="s">
        <v>437</v>
      </c>
    </row>
    <row r="71" spans="1:17" x14ac:dyDescent="0.25">
      <c r="A71" s="8" t="s">
        <v>438</v>
      </c>
      <c r="B71" s="8" t="s">
        <v>424</v>
      </c>
      <c r="C71" s="8" t="s">
        <v>29</v>
      </c>
      <c r="D71" s="8" t="s">
        <v>439</v>
      </c>
      <c r="E71" s="8" t="s">
        <v>426</v>
      </c>
      <c r="F71" s="8" t="s">
        <v>440</v>
      </c>
      <c r="G71" s="8" t="s">
        <v>49</v>
      </c>
      <c r="H71" s="9">
        <v>9.6</v>
      </c>
      <c r="I71" s="9">
        <v>9</v>
      </c>
      <c r="J71" s="8" t="s">
        <v>213</v>
      </c>
      <c r="K71" s="8" t="s">
        <v>441</v>
      </c>
      <c r="L71" s="8" t="s">
        <v>52</v>
      </c>
      <c r="M71" s="8" t="s">
        <v>429</v>
      </c>
      <c r="N71" s="8" t="s">
        <v>62</v>
      </c>
      <c r="O71" s="8" t="s">
        <v>426</v>
      </c>
      <c r="P71" s="8" t="s">
        <v>56</v>
      </c>
      <c r="Q71" s="8" t="s">
        <v>442</v>
      </c>
    </row>
    <row r="72" spans="1:17" x14ac:dyDescent="0.25">
      <c r="A72" s="8" t="s">
        <v>443</v>
      </c>
      <c r="B72" s="8" t="s">
        <v>424</v>
      </c>
      <c r="C72" s="8" t="s">
        <v>29</v>
      </c>
      <c r="D72" s="8" t="s">
        <v>444</v>
      </c>
      <c r="E72" s="8" t="s">
        <v>426</v>
      </c>
      <c r="F72" s="8" t="s">
        <v>445</v>
      </c>
      <c r="G72" s="8" t="s">
        <v>49</v>
      </c>
      <c r="H72" s="9">
        <v>7.7</v>
      </c>
      <c r="I72" s="9">
        <v>7.4</v>
      </c>
      <c r="J72" s="8" t="s">
        <v>446</v>
      </c>
      <c r="K72" s="8" t="s">
        <v>447</v>
      </c>
      <c r="L72" s="8" t="s">
        <v>52</v>
      </c>
      <c r="M72" s="8" t="s">
        <v>429</v>
      </c>
      <c r="N72" s="8" t="s">
        <v>62</v>
      </c>
      <c r="O72" s="8" t="s">
        <v>426</v>
      </c>
      <c r="P72" s="8" t="s">
        <v>56</v>
      </c>
      <c r="Q72" s="8" t="s">
        <v>448</v>
      </c>
    </row>
    <row r="73" spans="1:17" x14ac:dyDescent="0.25">
      <c r="A73" s="8" t="s">
        <v>449</v>
      </c>
      <c r="B73" s="8" t="s">
        <v>424</v>
      </c>
      <c r="C73" s="8" t="s">
        <v>29</v>
      </c>
      <c r="D73" s="8" t="s">
        <v>450</v>
      </c>
      <c r="E73" s="8" t="s">
        <v>426</v>
      </c>
      <c r="F73" s="8" t="s">
        <v>131</v>
      </c>
      <c r="G73" s="8" t="s">
        <v>49</v>
      </c>
      <c r="H73" s="9">
        <v>1.5</v>
      </c>
      <c r="I73" s="9">
        <v>1.4</v>
      </c>
      <c r="J73" s="8" t="s">
        <v>451</v>
      </c>
      <c r="K73" s="8" t="s">
        <v>452</v>
      </c>
      <c r="L73" s="8" t="s">
        <v>52</v>
      </c>
      <c r="M73" s="8" t="s">
        <v>453</v>
      </c>
      <c r="N73" s="8" t="s">
        <v>426</v>
      </c>
      <c r="O73" s="8" t="s">
        <v>426</v>
      </c>
      <c r="P73" s="8" t="s">
        <v>56</v>
      </c>
      <c r="Q73" s="8"/>
    </row>
    <row r="74" spans="1:17" x14ac:dyDescent="0.25">
      <c r="A74" s="8" t="s">
        <v>454</v>
      </c>
      <c r="B74" s="8" t="s">
        <v>424</v>
      </c>
      <c r="C74" s="8" t="s">
        <v>29</v>
      </c>
      <c r="D74" s="8" t="s">
        <v>455</v>
      </c>
      <c r="E74" s="8" t="s">
        <v>426</v>
      </c>
      <c r="F74" s="8" t="s">
        <v>131</v>
      </c>
      <c r="G74" s="8" t="s">
        <v>49</v>
      </c>
      <c r="H74" s="9">
        <v>1.2</v>
      </c>
      <c r="I74" s="9">
        <v>1.1000000000000001</v>
      </c>
      <c r="J74" s="8" t="s">
        <v>456</v>
      </c>
      <c r="K74" s="8" t="s">
        <v>457</v>
      </c>
      <c r="L74" s="8" t="s">
        <v>52</v>
      </c>
      <c r="M74" s="8" t="s">
        <v>458</v>
      </c>
      <c r="N74" s="8" t="s">
        <v>426</v>
      </c>
      <c r="O74" s="8" t="s">
        <v>426</v>
      </c>
      <c r="P74" s="8" t="s">
        <v>56</v>
      </c>
      <c r="Q74" s="8" t="s">
        <v>459</v>
      </c>
    </row>
    <row r="75" spans="1:17" ht="75" x14ac:dyDescent="0.25">
      <c r="A75" s="8" t="s">
        <v>460</v>
      </c>
      <c r="B75" s="8" t="s">
        <v>461</v>
      </c>
      <c r="C75" s="8" t="s">
        <v>30</v>
      </c>
      <c r="D75" s="8" t="s">
        <v>462</v>
      </c>
      <c r="E75" s="8" t="s">
        <v>463</v>
      </c>
      <c r="F75" s="8" t="s">
        <v>131</v>
      </c>
      <c r="G75" s="8" t="s">
        <v>49</v>
      </c>
      <c r="H75" s="9">
        <v>2.7</v>
      </c>
      <c r="I75" s="9">
        <v>2.4</v>
      </c>
      <c r="J75" s="8" t="s">
        <v>464</v>
      </c>
      <c r="K75" s="8" t="s">
        <v>465</v>
      </c>
      <c r="L75" s="8" t="s">
        <v>466</v>
      </c>
      <c r="M75" s="8" t="s">
        <v>467</v>
      </c>
      <c r="N75" s="8" t="s">
        <v>468</v>
      </c>
      <c r="O75" s="8" t="s">
        <v>469</v>
      </c>
      <c r="P75" s="8" t="s">
        <v>273</v>
      </c>
      <c r="Q75" s="8" t="s">
        <v>470</v>
      </c>
    </row>
    <row r="76" spans="1:17" ht="30" x14ac:dyDescent="0.25">
      <c r="A76" s="8" t="s">
        <v>471</v>
      </c>
      <c r="B76" s="8" t="s">
        <v>472</v>
      </c>
      <c r="C76" s="8" t="s">
        <v>30</v>
      </c>
      <c r="D76" s="8" t="s">
        <v>473</v>
      </c>
      <c r="E76" s="8" t="s">
        <v>474</v>
      </c>
      <c r="F76" s="8" t="s">
        <v>131</v>
      </c>
      <c r="G76" s="8" t="s">
        <v>49</v>
      </c>
      <c r="H76" s="9">
        <v>3.4</v>
      </c>
      <c r="I76" s="9">
        <v>3.4</v>
      </c>
      <c r="J76" s="8" t="s">
        <v>475</v>
      </c>
      <c r="K76" s="8" t="s">
        <v>476</v>
      </c>
      <c r="L76" s="8" t="s">
        <v>263</v>
      </c>
      <c r="M76" s="8" t="s">
        <v>477</v>
      </c>
      <c r="N76" s="8" t="s">
        <v>478</v>
      </c>
      <c r="O76" s="8" t="s">
        <v>198</v>
      </c>
      <c r="P76" s="8" t="s">
        <v>56</v>
      </c>
      <c r="Q76" s="8" t="s">
        <v>479</v>
      </c>
    </row>
    <row r="77" spans="1:17" ht="30" x14ac:dyDescent="0.25">
      <c r="A77" s="8" t="s">
        <v>480</v>
      </c>
      <c r="B77" s="8" t="s">
        <v>481</v>
      </c>
      <c r="C77" s="8" t="s">
        <v>30</v>
      </c>
      <c r="D77" s="8" t="s">
        <v>482</v>
      </c>
      <c r="E77" s="8" t="s">
        <v>483</v>
      </c>
      <c r="F77" s="8" t="s">
        <v>212</v>
      </c>
      <c r="G77" s="8" t="s">
        <v>49</v>
      </c>
      <c r="H77" s="9">
        <v>6.5</v>
      </c>
      <c r="I77" s="9">
        <v>6</v>
      </c>
      <c r="J77" s="8" t="s">
        <v>181</v>
      </c>
      <c r="K77" s="8" t="s">
        <v>484</v>
      </c>
      <c r="L77" s="8" t="s">
        <v>52</v>
      </c>
      <c r="M77" s="8" t="s">
        <v>485</v>
      </c>
      <c r="N77" s="8" t="s">
        <v>79</v>
      </c>
      <c r="O77" s="8" t="s">
        <v>486</v>
      </c>
      <c r="P77" s="8" t="s">
        <v>56</v>
      </c>
      <c r="Q77" s="8" t="s">
        <v>487</v>
      </c>
    </row>
    <row r="78" spans="1:17" ht="30" x14ac:dyDescent="0.25">
      <c r="A78" s="8" t="s">
        <v>488</v>
      </c>
      <c r="B78" s="8" t="s">
        <v>481</v>
      </c>
      <c r="C78" s="8" t="s">
        <v>30</v>
      </c>
      <c r="D78" s="8" t="s">
        <v>482</v>
      </c>
      <c r="E78" s="8" t="s">
        <v>483</v>
      </c>
      <c r="F78" s="8" t="s">
        <v>85</v>
      </c>
      <c r="G78" s="8" t="s">
        <v>49</v>
      </c>
      <c r="H78" s="9">
        <v>3</v>
      </c>
      <c r="I78" s="9">
        <v>2.8</v>
      </c>
      <c r="J78" s="8" t="s">
        <v>446</v>
      </c>
      <c r="K78" s="8" t="s">
        <v>489</v>
      </c>
      <c r="L78" s="8" t="s">
        <v>52</v>
      </c>
      <c r="M78" s="8" t="s">
        <v>485</v>
      </c>
      <c r="N78" s="8" t="s">
        <v>62</v>
      </c>
      <c r="O78" s="8" t="s">
        <v>486</v>
      </c>
      <c r="P78" s="8" t="s">
        <v>56</v>
      </c>
      <c r="Q78" s="8"/>
    </row>
    <row r="79" spans="1:17" ht="30" x14ac:dyDescent="0.25">
      <c r="A79" s="8" t="s">
        <v>490</v>
      </c>
      <c r="B79" s="8" t="s">
        <v>481</v>
      </c>
      <c r="C79" s="8" t="s">
        <v>30</v>
      </c>
      <c r="D79" s="8" t="s">
        <v>482</v>
      </c>
      <c r="E79" s="8" t="s">
        <v>483</v>
      </c>
      <c r="F79" s="8" t="s">
        <v>221</v>
      </c>
      <c r="G79" s="8" t="s">
        <v>49</v>
      </c>
      <c r="H79" s="9">
        <v>8.4</v>
      </c>
      <c r="I79" s="9">
        <v>7.8</v>
      </c>
      <c r="J79" s="8" t="s">
        <v>188</v>
      </c>
      <c r="K79" s="8" t="s">
        <v>491</v>
      </c>
      <c r="L79" s="8" t="s">
        <v>52</v>
      </c>
      <c r="M79" s="8" t="s">
        <v>485</v>
      </c>
      <c r="N79" s="8" t="s">
        <v>62</v>
      </c>
      <c r="O79" s="8" t="s">
        <v>486</v>
      </c>
      <c r="P79" s="8" t="s">
        <v>56</v>
      </c>
      <c r="Q79" s="8" t="s">
        <v>492</v>
      </c>
    </row>
    <row r="80" spans="1:17" ht="30" x14ac:dyDescent="0.25">
      <c r="A80" s="8" t="s">
        <v>493</v>
      </c>
      <c r="B80" s="8" t="s">
        <v>481</v>
      </c>
      <c r="C80" s="8" t="s">
        <v>30</v>
      </c>
      <c r="D80" s="8" t="s">
        <v>482</v>
      </c>
      <c r="E80" s="8" t="s">
        <v>483</v>
      </c>
      <c r="F80" s="8" t="s">
        <v>229</v>
      </c>
      <c r="G80" s="8" t="s">
        <v>49</v>
      </c>
      <c r="H80" s="9">
        <v>4.0999999999999996</v>
      </c>
      <c r="I80" s="9">
        <v>3.8</v>
      </c>
      <c r="J80" s="8" t="s">
        <v>494</v>
      </c>
      <c r="K80" s="8" t="s">
        <v>495</v>
      </c>
      <c r="L80" s="8" t="s">
        <v>52</v>
      </c>
      <c r="M80" s="8" t="s">
        <v>485</v>
      </c>
      <c r="N80" s="8" t="s">
        <v>62</v>
      </c>
      <c r="O80" s="8" t="s">
        <v>486</v>
      </c>
      <c r="P80" s="8" t="s">
        <v>56</v>
      </c>
      <c r="Q80" s="8" t="s">
        <v>496</v>
      </c>
    </row>
  </sheetData>
  <autoFilter ref="A1:Q8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6" customWidth="1"/>
    <col min="4" max="5" width="32" customWidth="1"/>
    <col min="6" max="6" width="10" customWidth="1"/>
    <col min="7" max="9" width="14" customWidth="1"/>
    <col min="10" max="11" width="12" customWidth="1"/>
    <col min="12" max="12" width="24" customWidth="1"/>
    <col min="13" max="13" width="28" customWidth="1"/>
    <col min="14" max="14" width="44" customWidth="1"/>
    <col min="15" max="15" width="28" customWidth="1"/>
    <col min="16" max="16" width="11" customWidth="1"/>
    <col min="17" max="17" width="38" customWidth="1"/>
  </cols>
  <sheetData>
    <row r="1" spans="1:17" x14ac:dyDescent="0.25">
      <c r="A1" s="7" t="s">
        <v>31</v>
      </c>
      <c r="B1" s="7" t="s">
        <v>32</v>
      </c>
      <c r="C1" s="7" t="s">
        <v>19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20</v>
      </c>
      <c r="I1" s="7" t="s">
        <v>21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</row>
    <row r="2" spans="1:17" ht="30" x14ac:dyDescent="0.25">
      <c r="A2" s="8" t="s">
        <v>497</v>
      </c>
      <c r="B2" s="8" t="s">
        <v>359</v>
      </c>
      <c r="C2" s="8" t="s">
        <v>28</v>
      </c>
      <c r="D2" s="8" t="s">
        <v>498</v>
      </c>
      <c r="E2" s="8" t="s">
        <v>377</v>
      </c>
      <c r="F2" s="8" t="s">
        <v>59</v>
      </c>
      <c r="G2" s="8" t="s">
        <v>499</v>
      </c>
      <c r="H2" s="9">
        <v>6.6</v>
      </c>
      <c r="I2" s="9">
        <v>0</v>
      </c>
      <c r="J2" s="8" t="s">
        <v>500</v>
      </c>
      <c r="K2" s="8"/>
      <c r="L2" s="8" t="s">
        <v>501</v>
      </c>
      <c r="M2" s="8" t="s">
        <v>502</v>
      </c>
      <c r="N2" s="8" t="s">
        <v>503</v>
      </c>
      <c r="O2" s="8" t="s">
        <v>504</v>
      </c>
      <c r="P2" s="8" t="s">
        <v>56</v>
      </c>
      <c r="Q2" s="8" t="s">
        <v>505</v>
      </c>
    </row>
    <row r="3" spans="1:17" ht="30" x14ac:dyDescent="0.25">
      <c r="A3" s="8" t="s">
        <v>506</v>
      </c>
      <c r="B3" s="8" t="s">
        <v>359</v>
      </c>
      <c r="C3" s="8" t="s">
        <v>28</v>
      </c>
      <c r="D3" s="8" t="s">
        <v>498</v>
      </c>
      <c r="E3" s="8" t="s">
        <v>377</v>
      </c>
      <c r="F3" s="8" t="s">
        <v>85</v>
      </c>
      <c r="G3" s="8" t="s">
        <v>499</v>
      </c>
      <c r="H3" s="9">
        <v>6.6</v>
      </c>
      <c r="I3" s="9">
        <v>0</v>
      </c>
      <c r="J3" s="8" t="s">
        <v>500</v>
      </c>
      <c r="K3" s="8"/>
      <c r="L3" s="8" t="s">
        <v>501</v>
      </c>
      <c r="M3" s="8" t="s">
        <v>502</v>
      </c>
      <c r="N3" s="8" t="s">
        <v>503</v>
      </c>
      <c r="O3" s="8" t="s">
        <v>504</v>
      </c>
      <c r="P3" s="8" t="s">
        <v>56</v>
      </c>
      <c r="Q3" s="8" t="s">
        <v>507</v>
      </c>
    </row>
    <row r="4" spans="1:17" ht="30" x14ac:dyDescent="0.25">
      <c r="A4" s="8" t="s">
        <v>508</v>
      </c>
      <c r="B4" s="8" t="s">
        <v>178</v>
      </c>
      <c r="C4" s="8" t="s">
        <v>25</v>
      </c>
      <c r="D4" s="8" t="s">
        <v>179</v>
      </c>
      <c r="E4" s="8" t="s">
        <v>180</v>
      </c>
      <c r="F4" s="8" t="s">
        <v>48</v>
      </c>
      <c r="G4" s="8" t="s">
        <v>509</v>
      </c>
      <c r="H4" s="9">
        <v>3.3</v>
      </c>
      <c r="I4" s="9">
        <v>0</v>
      </c>
      <c r="J4" s="8" t="s">
        <v>181</v>
      </c>
      <c r="K4" s="8" t="s">
        <v>510</v>
      </c>
      <c r="L4" s="8" t="s">
        <v>395</v>
      </c>
      <c r="M4" s="8" t="s">
        <v>183</v>
      </c>
      <c r="N4" s="8" t="s">
        <v>511</v>
      </c>
      <c r="O4" s="8" t="s">
        <v>179</v>
      </c>
      <c r="P4" s="8" t="s">
        <v>56</v>
      </c>
      <c r="Q4" s="8" t="s">
        <v>512</v>
      </c>
    </row>
    <row r="5" spans="1:17" ht="135" x14ac:dyDescent="0.25">
      <c r="A5" s="8" t="s">
        <v>513</v>
      </c>
      <c r="B5" s="8" t="s">
        <v>359</v>
      </c>
      <c r="C5" s="8" t="s">
        <v>28</v>
      </c>
      <c r="D5" s="8" t="s">
        <v>498</v>
      </c>
      <c r="E5" s="8" t="s">
        <v>514</v>
      </c>
      <c r="F5" s="8" t="s">
        <v>48</v>
      </c>
      <c r="G5" s="8" t="s">
        <v>499</v>
      </c>
      <c r="H5" s="9">
        <v>6.6</v>
      </c>
      <c r="I5" s="9">
        <v>1.3</v>
      </c>
      <c r="J5" s="8" t="s">
        <v>500</v>
      </c>
      <c r="K5" s="8" t="s">
        <v>515</v>
      </c>
      <c r="L5" s="8" t="s">
        <v>516</v>
      </c>
      <c r="M5" s="8" t="s">
        <v>517</v>
      </c>
      <c r="N5" s="8" t="s">
        <v>518</v>
      </c>
      <c r="O5" s="8" t="s">
        <v>519</v>
      </c>
      <c r="P5" s="8" t="s">
        <v>273</v>
      </c>
      <c r="Q5" s="8" t="s">
        <v>520</v>
      </c>
    </row>
    <row r="6" spans="1:17" ht="45" x14ac:dyDescent="0.25">
      <c r="A6" s="8" t="s">
        <v>521</v>
      </c>
      <c r="B6" s="8" t="s">
        <v>276</v>
      </c>
      <c r="C6" s="8" t="s">
        <v>27</v>
      </c>
      <c r="D6" s="8" t="s">
        <v>522</v>
      </c>
      <c r="E6" s="8" t="s">
        <v>278</v>
      </c>
      <c r="F6" s="8" t="s">
        <v>523</v>
      </c>
      <c r="G6" s="8" t="s">
        <v>524</v>
      </c>
      <c r="H6" s="9">
        <v>10</v>
      </c>
      <c r="I6" s="9">
        <v>10</v>
      </c>
      <c r="J6" s="8" t="s">
        <v>525</v>
      </c>
      <c r="K6" s="8" t="s">
        <v>526</v>
      </c>
      <c r="L6" s="8" t="s">
        <v>466</v>
      </c>
      <c r="M6" s="8" t="s">
        <v>282</v>
      </c>
      <c r="N6" s="8" t="s">
        <v>527</v>
      </c>
      <c r="O6" s="8" t="s">
        <v>528</v>
      </c>
      <c r="P6" s="8" t="s">
        <v>56</v>
      </c>
      <c r="Q6" s="8" t="s">
        <v>529</v>
      </c>
    </row>
    <row r="7" spans="1:17" ht="60" x14ac:dyDescent="0.25">
      <c r="A7" s="8" t="s">
        <v>530</v>
      </c>
      <c r="B7" s="8" t="s">
        <v>276</v>
      </c>
      <c r="C7" s="8" t="s">
        <v>27</v>
      </c>
      <c r="D7" s="8" t="s">
        <v>531</v>
      </c>
      <c r="E7" s="8" t="s">
        <v>532</v>
      </c>
      <c r="F7" s="8" t="s">
        <v>48</v>
      </c>
      <c r="G7" s="8" t="s">
        <v>524</v>
      </c>
      <c r="H7" s="9">
        <v>5.2</v>
      </c>
      <c r="I7" s="9">
        <v>5.2</v>
      </c>
      <c r="J7" s="8" t="s">
        <v>533</v>
      </c>
      <c r="K7" s="8" t="s">
        <v>534</v>
      </c>
      <c r="L7" s="8" t="s">
        <v>466</v>
      </c>
      <c r="M7" s="8" t="s">
        <v>535</v>
      </c>
      <c r="N7" s="8" t="s">
        <v>536</v>
      </c>
      <c r="O7" s="8" t="s">
        <v>537</v>
      </c>
      <c r="P7" s="8" t="s">
        <v>273</v>
      </c>
      <c r="Q7" s="8" t="s">
        <v>538</v>
      </c>
    </row>
    <row r="8" spans="1:17" ht="75" x14ac:dyDescent="0.25">
      <c r="A8" s="8" t="s">
        <v>539</v>
      </c>
      <c r="B8" s="8" t="s">
        <v>209</v>
      </c>
      <c r="C8" s="8" t="s">
        <v>26</v>
      </c>
      <c r="D8" s="8" t="s">
        <v>540</v>
      </c>
      <c r="E8" s="8" t="s">
        <v>541</v>
      </c>
      <c r="F8" s="8" t="s">
        <v>48</v>
      </c>
      <c r="G8" s="8" t="s">
        <v>524</v>
      </c>
      <c r="H8" s="9">
        <v>8</v>
      </c>
      <c r="I8" s="9">
        <v>8</v>
      </c>
      <c r="J8" s="8" t="s">
        <v>542</v>
      </c>
      <c r="K8" s="8" t="s">
        <v>543</v>
      </c>
      <c r="L8" s="8" t="s">
        <v>466</v>
      </c>
      <c r="M8" s="8" t="s">
        <v>215</v>
      </c>
      <c r="N8" s="8" t="s">
        <v>544</v>
      </c>
      <c r="O8" s="8" t="s">
        <v>545</v>
      </c>
      <c r="P8" s="8" t="s">
        <v>273</v>
      </c>
      <c r="Q8" s="8" t="s">
        <v>546</v>
      </c>
    </row>
    <row r="9" spans="1:17" ht="75" x14ac:dyDescent="0.25">
      <c r="A9" s="8" t="s">
        <v>547</v>
      </c>
      <c r="B9" s="8" t="s">
        <v>548</v>
      </c>
      <c r="C9" s="8" t="s">
        <v>27</v>
      </c>
      <c r="D9" s="8" t="s">
        <v>549</v>
      </c>
      <c r="E9" s="8" t="s">
        <v>288</v>
      </c>
      <c r="F9" s="8" t="s">
        <v>48</v>
      </c>
      <c r="G9" s="8" t="s">
        <v>524</v>
      </c>
      <c r="H9" s="9">
        <v>3.25</v>
      </c>
      <c r="I9" s="9">
        <v>3.25</v>
      </c>
      <c r="J9" s="8" t="s">
        <v>550</v>
      </c>
      <c r="K9" s="8" t="s">
        <v>551</v>
      </c>
      <c r="L9" s="8" t="s">
        <v>263</v>
      </c>
      <c r="M9" s="8" t="s">
        <v>552</v>
      </c>
      <c r="N9" s="8" t="s">
        <v>553</v>
      </c>
      <c r="O9" s="8" t="s">
        <v>554</v>
      </c>
      <c r="P9" s="8" t="s">
        <v>273</v>
      </c>
      <c r="Q9" s="8" t="s">
        <v>555</v>
      </c>
    </row>
    <row r="10" spans="1:17" ht="60" x14ac:dyDescent="0.25">
      <c r="A10" s="8" t="s">
        <v>556</v>
      </c>
      <c r="B10" s="8" t="s">
        <v>23</v>
      </c>
      <c r="C10" s="8" t="s">
        <v>23</v>
      </c>
      <c r="D10" s="8" t="s">
        <v>123</v>
      </c>
      <c r="E10" s="8" t="s">
        <v>108</v>
      </c>
      <c r="F10" s="8" t="s">
        <v>59</v>
      </c>
      <c r="G10" s="8" t="s">
        <v>557</v>
      </c>
      <c r="H10" s="9">
        <v>5</v>
      </c>
      <c r="I10" s="9">
        <v>5</v>
      </c>
      <c r="J10" s="8" t="s">
        <v>558</v>
      </c>
      <c r="K10" s="8" t="s">
        <v>559</v>
      </c>
      <c r="L10" s="8" t="s">
        <v>466</v>
      </c>
      <c r="M10" s="8" t="s">
        <v>560</v>
      </c>
      <c r="N10" s="8" t="s">
        <v>197</v>
      </c>
      <c r="O10" s="8" t="s">
        <v>561</v>
      </c>
      <c r="P10" s="8" t="s">
        <v>273</v>
      </c>
      <c r="Q10" s="8" t="s">
        <v>562</v>
      </c>
    </row>
    <row r="11" spans="1:17" ht="60" x14ac:dyDescent="0.25">
      <c r="A11" s="8" t="s">
        <v>563</v>
      </c>
      <c r="B11" s="8" t="s">
        <v>276</v>
      </c>
      <c r="C11" s="8" t="s">
        <v>27</v>
      </c>
      <c r="D11" s="8" t="s">
        <v>564</v>
      </c>
      <c r="E11" s="8" t="s">
        <v>299</v>
      </c>
      <c r="F11" s="8" t="s">
        <v>565</v>
      </c>
      <c r="G11" s="8" t="s">
        <v>524</v>
      </c>
      <c r="H11" s="9">
        <v>10.4</v>
      </c>
      <c r="I11" s="9">
        <v>10</v>
      </c>
      <c r="J11" s="8" t="s">
        <v>566</v>
      </c>
      <c r="K11" s="8" t="s">
        <v>559</v>
      </c>
      <c r="L11" s="8" t="s">
        <v>466</v>
      </c>
      <c r="M11" s="8" t="s">
        <v>302</v>
      </c>
      <c r="N11" s="8" t="s">
        <v>567</v>
      </c>
      <c r="O11" s="8" t="s">
        <v>568</v>
      </c>
      <c r="P11" s="8" t="s">
        <v>273</v>
      </c>
      <c r="Q11" s="8" t="s">
        <v>569</v>
      </c>
    </row>
    <row r="12" spans="1:17" ht="45" x14ac:dyDescent="0.25">
      <c r="A12" s="8" t="s">
        <v>570</v>
      </c>
      <c r="B12" s="8" t="s">
        <v>276</v>
      </c>
      <c r="C12" s="8" t="s">
        <v>27</v>
      </c>
      <c r="D12" s="8" t="s">
        <v>531</v>
      </c>
      <c r="E12" s="8" t="s">
        <v>532</v>
      </c>
      <c r="F12" s="8" t="s">
        <v>59</v>
      </c>
      <c r="G12" s="8" t="s">
        <v>557</v>
      </c>
      <c r="H12" s="9">
        <v>5.2</v>
      </c>
      <c r="I12" s="9">
        <v>5.2</v>
      </c>
      <c r="J12" s="8" t="s">
        <v>533</v>
      </c>
      <c r="K12" s="8" t="s">
        <v>559</v>
      </c>
      <c r="L12" s="8" t="s">
        <v>466</v>
      </c>
      <c r="M12" s="8" t="s">
        <v>535</v>
      </c>
      <c r="N12" s="8" t="s">
        <v>62</v>
      </c>
      <c r="O12" s="8" t="s">
        <v>571</v>
      </c>
      <c r="P12" s="8" t="s">
        <v>273</v>
      </c>
      <c r="Q12" s="8" t="s">
        <v>572</v>
      </c>
    </row>
    <row r="13" spans="1:17" ht="30" x14ac:dyDescent="0.25">
      <c r="A13" s="8" t="s">
        <v>573</v>
      </c>
      <c r="B13" s="8" t="s">
        <v>481</v>
      </c>
      <c r="C13" s="8" t="s">
        <v>30</v>
      </c>
      <c r="D13" s="8" t="s">
        <v>482</v>
      </c>
      <c r="E13" s="8" t="s">
        <v>483</v>
      </c>
      <c r="F13" s="8" t="s">
        <v>235</v>
      </c>
      <c r="G13" s="8" t="s">
        <v>557</v>
      </c>
      <c r="H13" s="9">
        <v>8</v>
      </c>
      <c r="I13" s="9">
        <v>7.5</v>
      </c>
      <c r="J13" s="8" t="s">
        <v>574</v>
      </c>
      <c r="K13" s="8" t="s">
        <v>559</v>
      </c>
      <c r="L13" s="8" t="s">
        <v>466</v>
      </c>
      <c r="M13" s="8" t="s">
        <v>485</v>
      </c>
      <c r="N13" s="8" t="s">
        <v>197</v>
      </c>
      <c r="O13" s="8" t="s">
        <v>486</v>
      </c>
      <c r="P13" s="8" t="s">
        <v>56</v>
      </c>
      <c r="Q13" s="8" t="s">
        <v>575</v>
      </c>
    </row>
    <row r="14" spans="1:17" ht="45" x14ac:dyDescent="0.25">
      <c r="A14" s="8" t="s">
        <v>576</v>
      </c>
      <c r="B14" s="8" t="s">
        <v>276</v>
      </c>
      <c r="C14" s="8" t="s">
        <v>27</v>
      </c>
      <c r="D14" s="8" t="s">
        <v>531</v>
      </c>
      <c r="E14" s="8" t="s">
        <v>532</v>
      </c>
      <c r="F14" s="8" t="s">
        <v>85</v>
      </c>
      <c r="G14" s="8" t="s">
        <v>557</v>
      </c>
      <c r="H14" s="9">
        <v>5.2</v>
      </c>
      <c r="I14" s="9">
        <v>5.2</v>
      </c>
      <c r="J14" s="8" t="s">
        <v>533</v>
      </c>
      <c r="K14" s="8" t="s">
        <v>577</v>
      </c>
      <c r="L14" s="8" t="s">
        <v>466</v>
      </c>
      <c r="M14" s="8" t="s">
        <v>535</v>
      </c>
      <c r="N14" s="8" t="s">
        <v>62</v>
      </c>
      <c r="O14" s="8" t="s">
        <v>578</v>
      </c>
      <c r="P14" s="8" t="s">
        <v>273</v>
      </c>
      <c r="Q14" s="8" t="s">
        <v>579</v>
      </c>
    </row>
    <row r="15" spans="1:17" ht="45" x14ac:dyDescent="0.25">
      <c r="A15" s="8" t="s">
        <v>580</v>
      </c>
      <c r="B15" s="8" t="s">
        <v>209</v>
      </c>
      <c r="C15" s="8" t="s">
        <v>26</v>
      </c>
      <c r="D15" s="8" t="s">
        <v>540</v>
      </c>
      <c r="E15" s="8" t="s">
        <v>541</v>
      </c>
      <c r="F15" s="8" t="s">
        <v>59</v>
      </c>
      <c r="G15" s="8" t="s">
        <v>557</v>
      </c>
      <c r="H15" s="9">
        <v>8</v>
      </c>
      <c r="I15" s="9">
        <v>8</v>
      </c>
      <c r="J15" s="8" t="s">
        <v>542</v>
      </c>
      <c r="K15" s="8" t="s">
        <v>581</v>
      </c>
      <c r="L15" s="8" t="s">
        <v>466</v>
      </c>
      <c r="M15" s="8" t="s">
        <v>215</v>
      </c>
      <c r="N15" s="8" t="s">
        <v>62</v>
      </c>
      <c r="O15" s="8" t="s">
        <v>225</v>
      </c>
      <c r="P15" s="8" t="s">
        <v>56</v>
      </c>
      <c r="Q15" s="8"/>
    </row>
    <row r="16" spans="1:17" ht="60" x14ac:dyDescent="0.25">
      <c r="A16" s="8" t="s">
        <v>582</v>
      </c>
      <c r="B16" s="8" t="s">
        <v>276</v>
      </c>
      <c r="C16" s="8" t="s">
        <v>27</v>
      </c>
      <c r="D16" s="8" t="s">
        <v>583</v>
      </c>
      <c r="E16" s="8" t="s">
        <v>278</v>
      </c>
      <c r="F16" s="8" t="s">
        <v>584</v>
      </c>
      <c r="G16" s="8" t="s">
        <v>557</v>
      </c>
      <c r="H16" s="9">
        <v>10</v>
      </c>
      <c r="I16" s="9">
        <v>10</v>
      </c>
      <c r="J16" s="8" t="s">
        <v>585</v>
      </c>
      <c r="K16" s="8" t="s">
        <v>586</v>
      </c>
      <c r="L16" s="8" t="s">
        <v>466</v>
      </c>
      <c r="M16" s="8" t="s">
        <v>282</v>
      </c>
      <c r="N16" s="8" t="s">
        <v>587</v>
      </c>
      <c r="O16" s="8" t="s">
        <v>588</v>
      </c>
      <c r="P16" s="8" t="s">
        <v>273</v>
      </c>
      <c r="Q16" s="8" t="s">
        <v>589</v>
      </c>
    </row>
    <row r="17" spans="1:17" ht="45" x14ac:dyDescent="0.25">
      <c r="A17" s="8" t="s">
        <v>590</v>
      </c>
      <c r="B17" s="8" t="s">
        <v>209</v>
      </c>
      <c r="C17" s="8" t="s">
        <v>26</v>
      </c>
      <c r="D17" s="8" t="s">
        <v>540</v>
      </c>
      <c r="E17" s="8" t="s">
        <v>541</v>
      </c>
      <c r="F17" s="8" t="s">
        <v>85</v>
      </c>
      <c r="G17" s="8" t="s">
        <v>557</v>
      </c>
      <c r="H17" s="9">
        <v>8</v>
      </c>
      <c r="I17" s="9">
        <v>8</v>
      </c>
      <c r="J17" s="8" t="s">
        <v>542</v>
      </c>
      <c r="K17" s="8" t="s">
        <v>591</v>
      </c>
      <c r="L17" s="8" t="s">
        <v>466</v>
      </c>
      <c r="M17" s="8" t="s">
        <v>215</v>
      </c>
      <c r="N17" s="8" t="s">
        <v>62</v>
      </c>
      <c r="O17" s="8" t="s">
        <v>225</v>
      </c>
      <c r="P17" s="8" t="s">
        <v>56</v>
      </c>
      <c r="Q17" s="8"/>
    </row>
    <row r="18" spans="1:17" ht="45" x14ac:dyDescent="0.25">
      <c r="A18" s="8" t="s">
        <v>592</v>
      </c>
      <c r="B18" s="8" t="s">
        <v>276</v>
      </c>
      <c r="C18" s="8" t="s">
        <v>27</v>
      </c>
      <c r="D18" s="8" t="s">
        <v>593</v>
      </c>
      <c r="E18" s="8" t="s">
        <v>288</v>
      </c>
      <c r="F18" s="8" t="s">
        <v>48</v>
      </c>
      <c r="G18" s="8" t="s">
        <v>557</v>
      </c>
      <c r="H18" s="9">
        <v>6.5</v>
      </c>
      <c r="I18" s="9">
        <v>6.5</v>
      </c>
      <c r="J18" s="8" t="s">
        <v>594</v>
      </c>
      <c r="K18" s="8" t="s">
        <v>591</v>
      </c>
      <c r="L18" s="8" t="s">
        <v>466</v>
      </c>
      <c r="M18" s="8" t="s">
        <v>282</v>
      </c>
      <c r="N18" s="8" t="s">
        <v>595</v>
      </c>
      <c r="O18" s="8" t="s">
        <v>596</v>
      </c>
      <c r="P18" s="8" t="s">
        <v>56</v>
      </c>
      <c r="Q18" s="8"/>
    </row>
    <row r="19" spans="1:17" ht="45" x14ac:dyDescent="0.25">
      <c r="A19" s="8" t="s">
        <v>597</v>
      </c>
      <c r="B19" s="8" t="s">
        <v>276</v>
      </c>
      <c r="C19" s="8" t="s">
        <v>27</v>
      </c>
      <c r="D19" s="8" t="s">
        <v>598</v>
      </c>
      <c r="E19" s="8" t="s">
        <v>599</v>
      </c>
      <c r="F19" s="8" t="s">
        <v>48</v>
      </c>
      <c r="G19" s="8" t="s">
        <v>557</v>
      </c>
      <c r="H19" s="9">
        <v>5.4</v>
      </c>
      <c r="I19" s="9">
        <v>5.4</v>
      </c>
      <c r="J19" s="8" t="s">
        <v>600</v>
      </c>
      <c r="K19" s="8" t="s">
        <v>591</v>
      </c>
      <c r="L19" s="8" t="s">
        <v>601</v>
      </c>
      <c r="M19" s="8" t="s">
        <v>602</v>
      </c>
      <c r="N19" s="8" t="s">
        <v>603</v>
      </c>
      <c r="O19" s="8" t="s">
        <v>604</v>
      </c>
      <c r="P19" s="8" t="s">
        <v>56</v>
      </c>
      <c r="Q19" s="8" t="s">
        <v>605</v>
      </c>
    </row>
    <row r="20" spans="1:17" ht="45" x14ac:dyDescent="0.25">
      <c r="A20" s="8" t="s">
        <v>606</v>
      </c>
      <c r="B20" s="8" t="s">
        <v>209</v>
      </c>
      <c r="C20" s="8" t="s">
        <v>26</v>
      </c>
      <c r="D20" s="8" t="s">
        <v>540</v>
      </c>
      <c r="E20" s="8" t="s">
        <v>541</v>
      </c>
      <c r="F20" s="8" t="s">
        <v>113</v>
      </c>
      <c r="G20" s="8" t="s">
        <v>557</v>
      </c>
      <c r="H20" s="9">
        <v>8</v>
      </c>
      <c r="I20" s="9">
        <v>8</v>
      </c>
      <c r="J20" s="8" t="s">
        <v>542</v>
      </c>
      <c r="K20" s="8" t="s">
        <v>607</v>
      </c>
      <c r="L20" s="8" t="s">
        <v>466</v>
      </c>
      <c r="M20" s="8" t="s">
        <v>215</v>
      </c>
      <c r="N20" s="8" t="s">
        <v>62</v>
      </c>
      <c r="O20" s="8" t="s">
        <v>225</v>
      </c>
      <c r="P20" s="8" t="s">
        <v>56</v>
      </c>
      <c r="Q20" s="8"/>
    </row>
    <row r="21" spans="1:17" ht="30" x14ac:dyDescent="0.25">
      <c r="A21" s="8" t="s">
        <v>608</v>
      </c>
      <c r="B21" s="8" t="s">
        <v>258</v>
      </c>
      <c r="C21" s="8" t="s">
        <v>27</v>
      </c>
      <c r="D21" s="8" t="s">
        <v>609</v>
      </c>
      <c r="E21" s="8" t="s">
        <v>610</v>
      </c>
      <c r="F21" s="8" t="s">
        <v>171</v>
      </c>
      <c r="G21" s="8" t="s">
        <v>557</v>
      </c>
      <c r="H21" s="9">
        <v>2.1</v>
      </c>
      <c r="I21" s="9">
        <v>2.1</v>
      </c>
      <c r="J21" s="8" t="s">
        <v>611</v>
      </c>
      <c r="K21" s="8" t="s">
        <v>607</v>
      </c>
      <c r="L21" s="8" t="s">
        <v>52</v>
      </c>
      <c r="M21" s="8" t="s">
        <v>612</v>
      </c>
      <c r="N21" s="8" t="s">
        <v>468</v>
      </c>
      <c r="O21" s="8" t="s">
        <v>613</v>
      </c>
      <c r="P21" s="8" t="s">
        <v>56</v>
      </c>
      <c r="Q21" s="8" t="s">
        <v>614</v>
      </c>
    </row>
    <row r="22" spans="1:17" ht="45" x14ac:dyDescent="0.25">
      <c r="A22" s="8" t="s">
        <v>615</v>
      </c>
      <c r="B22" s="8" t="s">
        <v>276</v>
      </c>
      <c r="C22" s="8" t="s">
        <v>27</v>
      </c>
      <c r="D22" s="8" t="s">
        <v>593</v>
      </c>
      <c r="E22" s="8" t="s">
        <v>288</v>
      </c>
      <c r="F22" s="8" t="s">
        <v>59</v>
      </c>
      <c r="G22" s="8" t="s">
        <v>557</v>
      </c>
      <c r="H22" s="9">
        <v>6.5</v>
      </c>
      <c r="I22" s="9">
        <v>6.5</v>
      </c>
      <c r="J22" s="8" t="s">
        <v>594</v>
      </c>
      <c r="K22" s="8" t="s">
        <v>616</v>
      </c>
      <c r="L22" s="8" t="s">
        <v>466</v>
      </c>
      <c r="M22" s="8" t="s">
        <v>282</v>
      </c>
      <c r="N22" s="8" t="s">
        <v>62</v>
      </c>
      <c r="O22" s="8" t="s">
        <v>617</v>
      </c>
      <c r="P22" s="8" t="s">
        <v>56</v>
      </c>
      <c r="Q22" s="8"/>
    </row>
    <row r="23" spans="1:17" ht="45" x14ac:dyDescent="0.25">
      <c r="A23" s="8" t="s">
        <v>618</v>
      </c>
      <c r="B23" s="8" t="s">
        <v>276</v>
      </c>
      <c r="C23" s="8" t="s">
        <v>27</v>
      </c>
      <c r="D23" s="8" t="s">
        <v>598</v>
      </c>
      <c r="E23" s="8" t="s">
        <v>599</v>
      </c>
      <c r="F23" s="8" t="s">
        <v>59</v>
      </c>
      <c r="G23" s="8" t="s">
        <v>557</v>
      </c>
      <c r="H23" s="9">
        <v>5.4</v>
      </c>
      <c r="I23" s="9">
        <v>5.4</v>
      </c>
      <c r="J23" s="8" t="s">
        <v>600</v>
      </c>
      <c r="K23" s="8" t="s">
        <v>616</v>
      </c>
      <c r="L23" s="8" t="s">
        <v>601</v>
      </c>
      <c r="M23" s="8" t="s">
        <v>602</v>
      </c>
      <c r="N23" s="8" t="s">
        <v>62</v>
      </c>
      <c r="O23" s="8" t="s">
        <v>599</v>
      </c>
      <c r="P23" s="8" t="s">
        <v>56</v>
      </c>
      <c r="Q23" s="8"/>
    </row>
    <row r="24" spans="1:17" ht="30" x14ac:dyDescent="0.25">
      <c r="A24" s="8" t="s">
        <v>619</v>
      </c>
      <c r="B24" s="8" t="s">
        <v>548</v>
      </c>
      <c r="C24" s="8" t="s">
        <v>27</v>
      </c>
      <c r="D24" s="8" t="s">
        <v>620</v>
      </c>
      <c r="E24" s="8" t="s">
        <v>621</v>
      </c>
      <c r="F24" s="8" t="s">
        <v>48</v>
      </c>
      <c r="G24" s="8" t="s">
        <v>557</v>
      </c>
      <c r="H24" s="9">
        <v>5</v>
      </c>
      <c r="I24" s="9">
        <v>5</v>
      </c>
      <c r="J24" s="8" t="s">
        <v>622</v>
      </c>
      <c r="K24" s="8" t="s">
        <v>623</v>
      </c>
      <c r="L24" s="8" t="s">
        <v>601</v>
      </c>
      <c r="M24" s="8" t="s">
        <v>624</v>
      </c>
      <c r="N24" s="8" t="s">
        <v>625</v>
      </c>
      <c r="O24" s="8" t="s">
        <v>626</v>
      </c>
      <c r="P24" s="8" t="s">
        <v>56</v>
      </c>
      <c r="Q24" s="8" t="s">
        <v>627</v>
      </c>
    </row>
    <row r="25" spans="1:17" ht="45" x14ac:dyDescent="0.25">
      <c r="A25" s="8" t="s">
        <v>628</v>
      </c>
      <c r="B25" s="8" t="s">
        <v>209</v>
      </c>
      <c r="C25" s="8" t="s">
        <v>26</v>
      </c>
      <c r="D25" s="8" t="s">
        <v>629</v>
      </c>
      <c r="E25" s="8" t="s">
        <v>630</v>
      </c>
      <c r="F25" s="8" t="s">
        <v>48</v>
      </c>
      <c r="G25" s="8" t="s">
        <v>557</v>
      </c>
      <c r="H25" s="9">
        <v>8</v>
      </c>
      <c r="I25" s="9">
        <v>8</v>
      </c>
      <c r="J25" s="8" t="s">
        <v>631</v>
      </c>
      <c r="K25" s="8" t="s">
        <v>632</v>
      </c>
      <c r="L25" s="8" t="s">
        <v>466</v>
      </c>
      <c r="M25" s="8" t="s">
        <v>215</v>
      </c>
      <c r="N25" s="8" t="s">
        <v>633</v>
      </c>
      <c r="O25" s="8" t="s">
        <v>225</v>
      </c>
      <c r="P25" s="8" t="s">
        <v>56</v>
      </c>
      <c r="Q25" s="8" t="s">
        <v>634</v>
      </c>
    </row>
    <row r="26" spans="1:17" x14ac:dyDescent="0.25">
      <c r="A26" s="8" t="s">
        <v>635</v>
      </c>
      <c r="B26" s="8" t="s">
        <v>258</v>
      </c>
      <c r="C26" s="8" t="s">
        <v>27</v>
      </c>
      <c r="D26" s="8" t="s">
        <v>636</v>
      </c>
      <c r="E26" s="8" t="s">
        <v>637</v>
      </c>
      <c r="F26" s="8" t="s">
        <v>131</v>
      </c>
      <c r="G26" s="8" t="s">
        <v>557</v>
      </c>
      <c r="H26" s="9">
        <v>3.3</v>
      </c>
      <c r="I26" s="9">
        <v>3.3</v>
      </c>
      <c r="J26" s="8" t="s">
        <v>638</v>
      </c>
      <c r="K26" s="8" t="s">
        <v>632</v>
      </c>
      <c r="L26" s="8" t="s">
        <v>52</v>
      </c>
      <c r="M26" s="8" t="s">
        <v>639</v>
      </c>
      <c r="N26" s="8" t="s">
        <v>640</v>
      </c>
      <c r="O26" s="8" t="s">
        <v>641</v>
      </c>
      <c r="P26" s="8" t="s">
        <v>56</v>
      </c>
      <c r="Q26" s="8" t="s">
        <v>642</v>
      </c>
    </row>
    <row r="27" spans="1:17" ht="45" x14ac:dyDescent="0.25">
      <c r="A27" s="8" t="s">
        <v>643</v>
      </c>
      <c r="B27" s="8" t="s">
        <v>276</v>
      </c>
      <c r="C27" s="8" t="s">
        <v>27</v>
      </c>
      <c r="D27" s="8" t="s">
        <v>598</v>
      </c>
      <c r="E27" s="8" t="s">
        <v>599</v>
      </c>
      <c r="F27" s="8" t="s">
        <v>85</v>
      </c>
      <c r="G27" s="8" t="s">
        <v>557</v>
      </c>
      <c r="H27" s="9">
        <v>5.4</v>
      </c>
      <c r="I27" s="9">
        <v>5.4</v>
      </c>
      <c r="J27" s="8" t="s">
        <v>644</v>
      </c>
      <c r="K27" s="8" t="s">
        <v>632</v>
      </c>
      <c r="L27" s="8" t="s">
        <v>601</v>
      </c>
      <c r="M27" s="8" t="s">
        <v>602</v>
      </c>
      <c r="N27" s="8" t="s">
        <v>62</v>
      </c>
      <c r="O27" s="8" t="s">
        <v>645</v>
      </c>
      <c r="P27" s="8" t="s">
        <v>56</v>
      </c>
      <c r="Q27" s="8" t="s">
        <v>646</v>
      </c>
    </row>
    <row r="28" spans="1:17" ht="45" x14ac:dyDescent="0.25">
      <c r="A28" s="8" t="s">
        <v>647</v>
      </c>
      <c r="B28" s="8" t="s">
        <v>209</v>
      </c>
      <c r="C28" s="8" t="s">
        <v>26</v>
      </c>
      <c r="D28" s="8" t="s">
        <v>629</v>
      </c>
      <c r="E28" s="8" t="s">
        <v>630</v>
      </c>
      <c r="F28" s="8" t="s">
        <v>59</v>
      </c>
      <c r="G28" s="8" t="s">
        <v>557</v>
      </c>
      <c r="H28" s="9">
        <v>8</v>
      </c>
      <c r="I28" s="9">
        <v>8</v>
      </c>
      <c r="J28" s="8" t="s">
        <v>631</v>
      </c>
      <c r="K28" s="8" t="s">
        <v>648</v>
      </c>
      <c r="L28" s="8" t="s">
        <v>466</v>
      </c>
      <c r="M28" s="8" t="s">
        <v>215</v>
      </c>
      <c r="N28" s="8" t="s">
        <v>62</v>
      </c>
      <c r="O28" s="8" t="s">
        <v>225</v>
      </c>
      <c r="P28" s="8" t="s">
        <v>56</v>
      </c>
      <c r="Q28" s="8"/>
    </row>
    <row r="29" spans="1:17" ht="60" x14ac:dyDescent="0.25">
      <c r="A29" s="8" t="s">
        <v>649</v>
      </c>
      <c r="B29" s="8" t="s">
        <v>472</v>
      </c>
      <c r="C29" s="8" t="s">
        <v>30</v>
      </c>
      <c r="D29" s="8" t="s">
        <v>650</v>
      </c>
      <c r="E29" s="8" t="s">
        <v>651</v>
      </c>
      <c r="F29" s="8" t="s">
        <v>48</v>
      </c>
      <c r="G29" s="8" t="s">
        <v>557</v>
      </c>
      <c r="H29" s="9">
        <v>6.44</v>
      </c>
      <c r="I29" s="9">
        <v>0</v>
      </c>
      <c r="J29" s="8" t="s">
        <v>652</v>
      </c>
      <c r="K29" s="8" t="s">
        <v>653</v>
      </c>
      <c r="L29" s="8" t="s">
        <v>501</v>
      </c>
      <c r="M29" s="8" t="s">
        <v>654</v>
      </c>
      <c r="N29" s="8" t="s">
        <v>655</v>
      </c>
      <c r="O29" s="8" t="s">
        <v>656</v>
      </c>
      <c r="P29" s="8" t="s">
        <v>273</v>
      </c>
      <c r="Q29" s="8" t="s">
        <v>657</v>
      </c>
    </row>
    <row r="30" spans="1:17" ht="45" x14ac:dyDescent="0.25">
      <c r="A30" s="8" t="s">
        <v>658</v>
      </c>
      <c r="B30" s="8" t="s">
        <v>472</v>
      </c>
      <c r="C30" s="8" t="s">
        <v>30</v>
      </c>
      <c r="D30" s="8" t="s">
        <v>650</v>
      </c>
      <c r="E30" s="8" t="s">
        <v>651</v>
      </c>
      <c r="F30" s="8" t="s">
        <v>59</v>
      </c>
      <c r="G30" s="8" t="s">
        <v>557</v>
      </c>
      <c r="H30" s="9">
        <v>6.44</v>
      </c>
      <c r="I30" s="9">
        <v>0</v>
      </c>
      <c r="J30" s="8" t="s">
        <v>652</v>
      </c>
      <c r="K30" s="8" t="s">
        <v>659</v>
      </c>
      <c r="L30" s="8" t="s">
        <v>501</v>
      </c>
      <c r="M30" s="8" t="s">
        <v>660</v>
      </c>
      <c r="N30" s="8" t="s">
        <v>62</v>
      </c>
      <c r="O30" s="8" t="s">
        <v>661</v>
      </c>
      <c r="P30" s="8" t="s">
        <v>273</v>
      </c>
      <c r="Q30" s="8" t="s">
        <v>662</v>
      </c>
    </row>
    <row r="31" spans="1:17" ht="195" x14ac:dyDescent="0.25">
      <c r="A31" s="8" t="s">
        <v>663</v>
      </c>
      <c r="B31" s="8" t="s">
        <v>472</v>
      </c>
      <c r="C31" s="8" t="s">
        <v>30</v>
      </c>
      <c r="D31" s="8" t="s">
        <v>664</v>
      </c>
      <c r="E31" s="8" t="s">
        <v>665</v>
      </c>
      <c r="F31" s="8" t="s">
        <v>48</v>
      </c>
      <c r="G31" s="8" t="s">
        <v>666</v>
      </c>
      <c r="H31" s="9">
        <v>9</v>
      </c>
      <c r="I31" s="9">
        <v>0</v>
      </c>
      <c r="J31" s="8"/>
      <c r="K31" s="8" t="s">
        <v>667</v>
      </c>
      <c r="L31" s="8" t="s">
        <v>601</v>
      </c>
      <c r="M31" s="8" t="s">
        <v>668</v>
      </c>
      <c r="N31" s="8" t="s">
        <v>669</v>
      </c>
      <c r="O31" s="8" t="s">
        <v>670</v>
      </c>
      <c r="P31" s="8" t="s">
        <v>273</v>
      </c>
      <c r="Q31" s="8" t="s">
        <v>671</v>
      </c>
    </row>
    <row r="32" spans="1:17" ht="105" x14ac:dyDescent="0.25">
      <c r="A32" s="8" t="s">
        <v>672</v>
      </c>
      <c r="B32" s="8" t="s">
        <v>472</v>
      </c>
      <c r="C32" s="8" t="s">
        <v>30</v>
      </c>
      <c r="D32" s="8" t="s">
        <v>664</v>
      </c>
      <c r="E32" s="8" t="s">
        <v>665</v>
      </c>
      <c r="F32" s="8" t="s">
        <v>59</v>
      </c>
      <c r="G32" s="8" t="s">
        <v>666</v>
      </c>
      <c r="H32" s="9">
        <v>9</v>
      </c>
      <c r="I32" s="9">
        <v>0</v>
      </c>
      <c r="J32" s="8"/>
      <c r="K32" s="8" t="s">
        <v>673</v>
      </c>
      <c r="L32" s="8" t="s">
        <v>601</v>
      </c>
      <c r="M32" s="8" t="s">
        <v>668</v>
      </c>
      <c r="N32" s="8" t="s">
        <v>669</v>
      </c>
      <c r="O32" s="8" t="s">
        <v>674</v>
      </c>
      <c r="P32" s="8" t="s">
        <v>273</v>
      </c>
      <c r="Q32" s="8" t="s">
        <v>675</v>
      </c>
    </row>
  </sheetData>
  <autoFilter ref="A1:Q3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4" customWidth="1"/>
    <col min="4" max="5" width="32" customWidth="1"/>
    <col min="6" max="6" width="10" customWidth="1"/>
    <col min="7" max="10" width="14" customWidth="1"/>
    <col min="11" max="11" width="12" customWidth="1"/>
    <col min="12" max="12" width="9" customWidth="1"/>
    <col min="13" max="13" width="24" customWidth="1"/>
    <col min="14" max="14" width="11" customWidth="1"/>
    <col min="15" max="15" width="36" customWidth="1"/>
  </cols>
  <sheetData>
    <row r="1" spans="1:15" x14ac:dyDescent="0.25">
      <c r="A1" s="7" t="s">
        <v>31</v>
      </c>
      <c r="B1" s="7" t="s">
        <v>32</v>
      </c>
      <c r="C1" s="7" t="s">
        <v>19</v>
      </c>
      <c r="D1" s="7" t="s">
        <v>33</v>
      </c>
      <c r="E1" s="7" t="s">
        <v>34</v>
      </c>
      <c r="F1" s="7" t="s">
        <v>676</v>
      </c>
      <c r="G1" s="7" t="s">
        <v>36</v>
      </c>
      <c r="H1" s="7" t="s">
        <v>677</v>
      </c>
      <c r="I1" s="7" t="s">
        <v>678</v>
      </c>
      <c r="J1" s="7" t="s">
        <v>679</v>
      </c>
      <c r="K1" s="7" t="s">
        <v>680</v>
      </c>
      <c r="L1" s="7" t="s">
        <v>681</v>
      </c>
      <c r="M1" s="7" t="s">
        <v>42</v>
      </c>
      <c r="N1" s="7" t="s">
        <v>43</v>
      </c>
      <c r="O1" s="7" t="s">
        <v>44</v>
      </c>
    </row>
    <row r="2" spans="1:15" ht="30" x14ac:dyDescent="0.25">
      <c r="A2" s="8" t="s">
        <v>682</v>
      </c>
      <c r="B2" s="8" t="s">
        <v>683</v>
      </c>
      <c r="C2" s="8" t="s">
        <v>684</v>
      </c>
      <c r="D2" s="8" t="s">
        <v>685</v>
      </c>
      <c r="E2" s="8" t="s">
        <v>686</v>
      </c>
      <c r="F2" s="8" t="s">
        <v>687</v>
      </c>
      <c r="G2" s="8" t="s">
        <v>49</v>
      </c>
      <c r="H2" s="9">
        <v>10</v>
      </c>
      <c r="I2" s="9">
        <v>7.4</v>
      </c>
      <c r="J2" s="10">
        <v>720000</v>
      </c>
      <c r="K2" s="8" t="s">
        <v>688</v>
      </c>
      <c r="L2" s="8" t="s">
        <v>689</v>
      </c>
      <c r="M2" s="8" t="s">
        <v>686</v>
      </c>
      <c r="N2" s="8" t="s">
        <v>56</v>
      </c>
      <c r="O2" s="8"/>
    </row>
    <row r="3" spans="1:15" x14ac:dyDescent="0.25">
      <c r="A3" s="8" t="s">
        <v>690</v>
      </c>
      <c r="B3" s="8" t="s">
        <v>683</v>
      </c>
      <c r="C3" s="8" t="s">
        <v>684</v>
      </c>
      <c r="D3" s="8" t="s">
        <v>691</v>
      </c>
      <c r="E3" s="8" t="s">
        <v>692</v>
      </c>
      <c r="F3" s="8" t="s">
        <v>687</v>
      </c>
      <c r="G3" s="8" t="s">
        <v>49</v>
      </c>
      <c r="H3" s="9">
        <v>9.4</v>
      </c>
      <c r="I3" s="9">
        <v>6.9</v>
      </c>
      <c r="J3" s="10">
        <v>640000</v>
      </c>
      <c r="K3" s="8" t="s">
        <v>693</v>
      </c>
      <c r="L3" s="8" t="s">
        <v>689</v>
      </c>
      <c r="M3" s="8" t="s">
        <v>692</v>
      </c>
      <c r="N3" s="8" t="s">
        <v>56</v>
      </c>
      <c r="O3" s="8" t="s">
        <v>694</v>
      </c>
    </row>
    <row r="4" spans="1:15" x14ac:dyDescent="0.25">
      <c r="A4" s="8" t="s">
        <v>695</v>
      </c>
      <c r="B4" s="8" t="s">
        <v>683</v>
      </c>
      <c r="C4" s="8" t="s">
        <v>684</v>
      </c>
      <c r="D4" s="8" t="s">
        <v>696</v>
      </c>
      <c r="E4" s="8" t="s">
        <v>692</v>
      </c>
      <c r="F4" s="8" t="s">
        <v>687</v>
      </c>
      <c r="G4" s="8" t="s">
        <v>49</v>
      </c>
      <c r="H4" s="9">
        <v>7.2</v>
      </c>
      <c r="I4" s="9">
        <v>5.3</v>
      </c>
      <c r="J4" s="10">
        <v>640000</v>
      </c>
      <c r="K4" s="8" t="s">
        <v>697</v>
      </c>
      <c r="L4" s="8" t="s">
        <v>689</v>
      </c>
      <c r="M4" s="8" t="s">
        <v>692</v>
      </c>
      <c r="N4" s="8" t="s">
        <v>56</v>
      </c>
      <c r="O4" s="8"/>
    </row>
    <row r="5" spans="1:15" x14ac:dyDescent="0.25">
      <c r="A5" s="8" t="s">
        <v>698</v>
      </c>
      <c r="B5" s="8" t="s">
        <v>683</v>
      </c>
      <c r="C5" s="8" t="s">
        <v>684</v>
      </c>
      <c r="D5" s="8" t="s">
        <v>699</v>
      </c>
      <c r="E5" s="8" t="s">
        <v>61</v>
      </c>
      <c r="F5" s="8" t="s">
        <v>687</v>
      </c>
      <c r="G5" s="8" t="s">
        <v>49</v>
      </c>
      <c r="H5" s="9">
        <v>6</v>
      </c>
      <c r="I5" s="9">
        <v>4.4000000000000004</v>
      </c>
      <c r="J5" s="10">
        <v>640000</v>
      </c>
      <c r="K5" s="8" t="s">
        <v>700</v>
      </c>
      <c r="L5" s="8" t="s">
        <v>689</v>
      </c>
      <c r="M5" s="8" t="s">
        <v>61</v>
      </c>
      <c r="N5" s="8" t="s">
        <v>56</v>
      </c>
      <c r="O5" s="8"/>
    </row>
    <row r="6" spans="1:15" ht="30" x14ac:dyDescent="0.25">
      <c r="A6" s="8" t="s">
        <v>701</v>
      </c>
      <c r="B6" s="8" t="s">
        <v>683</v>
      </c>
      <c r="C6" s="8" t="s">
        <v>684</v>
      </c>
      <c r="D6" s="8" t="s">
        <v>702</v>
      </c>
      <c r="E6" s="8" t="s">
        <v>686</v>
      </c>
      <c r="F6" s="8" t="s">
        <v>687</v>
      </c>
      <c r="G6" s="8" t="s">
        <v>49</v>
      </c>
      <c r="H6" s="9">
        <v>10</v>
      </c>
      <c r="I6" s="9">
        <v>7.4</v>
      </c>
      <c r="J6" s="10">
        <v>800000</v>
      </c>
      <c r="K6" s="8" t="s">
        <v>703</v>
      </c>
      <c r="L6" s="8" t="s">
        <v>689</v>
      </c>
      <c r="M6" s="8" t="s">
        <v>686</v>
      </c>
      <c r="N6" s="8" t="s">
        <v>56</v>
      </c>
      <c r="O6" s="8"/>
    </row>
    <row r="7" spans="1:15" x14ac:dyDescent="0.25">
      <c r="A7" s="8" t="s">
        <v>704</v>
      </c>
      <c r="B7" s="8" t="s">
        <v>683</v>
      </c>
      <c r="C7" s="8" t="s">
        <v>684</v>
      </c>
      <c r="D7" s="8" t="s">
        <v>705</v>
      </c>
      <c r="E7" s="8" t="s">
        <v>61</v>
      </c>
      <c r="F7" s="8" t="s">
        <v>687</v>
      </c>
      <c r="G7" s="8" t="s">
        <v>49</v>
      </c>
      <c r="H7" s="9">
        <v>12</v>
      </c>
      <c r="I7" s="9">
        <v>8.8000000000000007</v>
      </c>
      <c r="J7" s="10">
        <v>640000</v>
      </c>
      <c r="K7" s="8" t="s">
        <v>706</v>
      </c>
      <c r="L7" s="8" t="s">
        <v>689</v>
      </c>
      <c r="M7" s="8" t="s">
        <v>61</v>
      </c>
      <c r="N7" s="8" t="s">
        <v>56</v>
      </c>
      <c r="O7" s="8" t="s">
        <v>707</v>
      </c>
    </row>
    <row r="8" spans="1:15" ht="30" x14ac:dyDescent="0.25">
      <c r="A8" s="8" t="s">
        <v>708</v>
      </c>
      <c r="B8" s="8" t="s">
        <v>683</v>
      </c>
      <c r="C8" s="8" t="s">
        <v>684</v>
      </c>
      <c r="D8" s="8" t="s">
        <v>709</v>
      </c>
      <c r="E8" s="8" t="s">
        <v>710</v>
      </c>
      <c r="F8" s="8" t="s">
        <v>687</v>
      </c>
      <c r="G8" s="8" t="s">
        <v>49</v>
      </c>
      <c r="H8" s="9">
        <v>9</v>
      </c>
      <c r="I8" s="9">
        <v>6.6</v>
      </c>
      <c r="J8" s="10">
        <v>495000</v>
      </c>
      <c r="K8" s="8" t="s">
        <v>711</v>
      </c>
      <c r="L8" s="8" t="s">
        <v>689</v>
      </c>
      <c r="M8" s="8" t="s">
        <v>692</v>
      </c>
      <c r="N8" s="8" t="s">
        <v>56</v>
      </c>
      <c r="O8" s="8"/>
    </row>
    <row r="9" spans="1:15" x14ac:dyDescent="0.25">
      <c r="A9" s="8" t="s">
        <v>712</v>
      </c>
      <c r="B9" s="8" t="s">
        <v>713</v>
      </c>
      <c r="C9" s="8" t="s">
        <v>684</v>
      </c>
      <c r="D9" s="8" t="s">
        <v>714</v>
      </c>
      <c r="E9" s="8" t="s">
        <v>715</v>
      </c>
      <c r="F9" s="8" t="s">
        <v>687</v>
      </c>
      <c r="G9" s="8" t="s">
        <v>49</v>
      </c>
      <c r="H9" s="9">
        <v>9.5</v>
      </c>
      <c r="I9" s="9">
        <v>7</v>
      </c>
      <c r="J9" s="10">
        <v>1620000</v>
      </c>
      <c r="K9" s="8" t="s">
        <v>716</v>
      </c>
      <c r="L9" s="8" t="s">
        <v>689</v>
      </c>
      <c r="M9" s="8" t="s">
        <v>717</v>
      </c>
      <c r="N9" s="8" t="s">
        <v>56</v>
      </c>
      <c r="O9" s="8" t="s">
        <v>718</v>
      </c>
    </row>
    <row r="10" spans="1:15" x14ac:dyDescent="0.25">
      <c r="A10" s="8" t="s">
        <v>719</v>
      </c>
      <c r="B10" s="8" t="s">
        <v>713</v>
      </c>
      <c r="C10" s="8" t="s">
        <v>684</v>
      </c>
      <c r="D10" s="8" t="s">
        <v>720</v>
      </c>
      <c r="E10" s="8" t="s">
        <v>721</v>
      </c>
      <c r="F10" s="8" t="s">
        <v>687</v>
      </c>
      <c r="G10" s="8" t="s">
        <v>49</v>
      </c>
      <c r="H10" s="9">
        <v>30</v>
      </c>
      <c r="I10" s="9">
        <v>22</v>
      </c>
      <c r="J10" s="10">
        <v>1110000</v>
      </c>
      <c r="K10" s="8" t="s">
        <v>722</v>
      </c>
      <c r="L10" s="8" t="s">
        <v>689</v>
      </c>
      <c r="M10" s="8" t="s">
        <v>723</v>
      </c>
      <c r="N10" s="8" t="s">
        <v>56</v>
      </c>
      <c r="O10" s="8" t="s">
        <v>724</v>
      </c>
    </row>
    <row r="11" spans="1:15" ht="45" x14ac:dyDescent="0.25">
      <c r="A11" s="8" t="s">
        <v>725</v>
      </c>
      <c r="B11" s="8" t="s">
        <v>713</v>
      </c>
      <c r="C11" s="8" t="s">
        <v>684</v>
      </c>
      <c r="D11" s="8" t="s">
        <v>726</v>
      </c>
      <c r="E11" s="8" t="s">
        <v>727</v>
      </c>
      <c r="F11" s="8" t="s">
        <v>687</v>
      </c>
      <c r="G11" s="8" t="s">
        <v>49</v>
      </c>
      <c r="H11" s="9">
        <v>12.5</v>
      </c>
      <c r="I11" s="9">
        <v>9.1999999999999993</v>
      </c>
      <c r="J11" s="10">
        <v>540000</v>
      </c>
      <c r="K11" s="8" t="s">
        <v>728</v>
      </c>
      <c r="L11" s="8" t="s">
        <v>689</v>
      </c>
      <c r="M11" s="8" t="s">
        <v>729</v>
      </c>
      <c r="N11" s="8" t="s">
        <v>56</v>
      </c>
      <c r="O11" s="8"/>
    </row>
    <row r="12" spans="1:15" ht="30" x14ac:dyDescent="0.25">
      <c r="A12" s="8" t="s">
        <v>730</v>
      </c>
      <c r="B12" s="8" t="s">
        <v>713</v>
      </c>
      <c r="C12" s="8" t="s">
        <v>684</v>
      </c>
      <c r="D12" s="8" t="s">
        <v>731</v>
      </c>
      <c r="E12" s="8" t="s">
        <v>732</v>
      </c>
      <c r="F12" s="8" t="s">
        <v>687</v>
      </c>
      <c r="G12" s="8" t="s">
        <v>49</v>
      </c>
      <c r="H12" s="9">
        <v>10</v>
      </c>
      <c r="I12" s="9">
        <v>7.4</v>
      </c>
      <c r="J12" s="10">
        <v>2370000</v>
      </c>
      <c r="K12" s="8" t="s">
        <v>733</v>
      </c>
      <c r="L12" s="8" t="s">
        <v>689</v>
      </c>
      <c r="M12" s="8" t="s">
        <v>734</v>
      </c>
      <c r="N12" s="8" t="s">
        <v>56</v>
      </c>
      <c r="O12" s="8" t="s">
        <v>735</v>
      </c>
    </row>
    <row r="13" spans="1:15" ht="30" x14ac:dyDescent="0.25">
      <c r="A13" s="8" t="s">
        <v>736</v>
      </c>
      <c r="B13" s="8" t="s">
        <v>713</v>
      </c>
      <c r="C13" s="8" t="s">
        <v>684</v>
      </c>
      <c r="D13" s="8" t="s">
        <v>737</v>
      </c>
      <c r="E13" s="8" t="s">
        <v>727</v>
      </c>
      <c r="F13" s="8" t="s">
        <v>687</v>
      </c>
      <c r="G13" s="8" t="s">
        <v>49</v>
      </c>
      <c r="H13" s="9">
        <v>12.5</v>
      </c>
      <c r="I13" s="9">
        <v>9.1999999999999993</v>
      </c>
      <c r="J13" s="10">
        <v>540000</v>
      </c>
      <c r="K13" s="8" t="s">
        <v>738</v>
      </c>
      <c r="L13" s="8" t="s">
        <v>689</v>
      </c>
      <c r="M13" s="8" t="s">
        <v>729</v>
      </c>
      <c r="N13" s="8" t="s">
        <v>56</v>
      </c>
      <c r="O13" s="8"/>
    </row>
    <row r="14" spans="1:15" x14ac:dyDescent="0.25">
      <c r="A14" s="8" t="s">
        <v>739</v>
      </c>
      <c r="B14" s="8" t="s">
        <v>713</v>
      </c>
      <c r="C14" s="8" t="s">
        <v>684</v>
      </c>
      <c r="D14" s="8" t="s">
        <v>740</v>
      </c>
      <c r="E14" s="8" t="s">
        <v>741</v>
      </c>
      <c r="F14" s="8" t="s">
        <v>687</v>
      </c>
      <c r="G14" s="8" t="s">
        <v>49</v>
      </c>
      <c r="H14" s="9">
        <v>10</v>
      </c>
      <c r="I14" s="9">
        <v>7.4</v>
      </c>
      <c r="J14" s="10">
        <v>1820000</v>
      </c>
      <c r="K14" s="8" t="s">
        <v>742</v>
      </c>
      <c r="L14" s="8" t="s">
        <v>689</v>
      </c>
      <c r="M14" s="8" t="s">
        <v>741</v>
      </c>
      <c r="N14" s="8" t="s">
        <v>56</v>
      </c>
      <c r="O14" s="8"/>
    </row>
    <row r="15" spans="1:15" ht="30" x14ac:dyDescent="0.25">
      <c r="A15" s="8" t="s">
        <v>743</v>
      </c>
      <c r="B15" s="8" t="s">
        <v>713</v>
      </c>
      <c r="C15" s="8" t="s">
        <v>684</v>
      </c>
      <c r="D15" s="8" t="s">
        <v>744</v>
      </c>
      <c r="E15" s="8" t="s">
        <v>734</v>
      </c>
      <c r="F15" s="8" t="s">
        <v>687</v>
      </c>
      <c r="G15" s="8" t="s">
        <v>49</v>
      </c>
      <c r="H15" s="9">
        <v>17.600000000000001</v>
      </c>
      <c r="I15" s="9">
        <v>13</v>
      </c>
      <c r="J15" s="10">
        <v>2660000</v>
      </c>
      <c r="K15" s="8" t="s">
        <v>745</v>
      </c>
      <c r="L15" s="8" t="s">
        <v>689</v>
      </c>
      <c r="M15" s="8" t="s">
        <v>734</v>
      </c>
      <c r="N15" s="8" t="s">
        <v>56</v>
      </c>
      <c r="O15" s="8"/>
    </row>
    <row r="16" spans="1:15" x14ac:dyDescent="0.25">
      <c r="A16" s="8" t="s">
        <v>746</v>
      </c>
      <c r="B16" s="8" t="s">
        <v>713</v>
      </c>
      <c r="C16" s="8" t="s">
        <v>684</v>
      </c>
      <c r="D16" s="8" t="s">
        <v>747</v>
      </c>
      <c r="E16" s="8" t="s">
        <v>748</v>
      </c>
      <c r="F16" s="8" t="s">
        <v>687</v>
      </c>
      <c r="G16" s="8" t="s">
        <v>49</v>
      </c>
      <c r="H16" s="9">
        <v>10</v>
      </c>
      <c r="I16" s="9">
        <v>7.4</v>
      </c>
      <c r="J16" s="10">
        <v>640000</v>
      </c>
      <c r="K16" s="8" t="s">
        <v>749</v>
      </c>
      <c r="L16" s="8" t="s">
        <v>689</v>
      </c>
      <c r="M16" s="8" t="s">
        <v>750</v>
      </c>
      <c r="N16" s="8" t="s">
        <v>56</v>
      </c>
      <c r="O16" s="8"/>
    </row>
    <row r="17" spans="1:15" x14ac:dyDescent="0.25">
      <c r="A17" s="8" t="s">
        <v>751</v>
      </c>
      <c r="B17" s="8" t="s">
        <v>752</v>
      </c>
      <c r="C17" s="8" t="s">
        <v>684</v>
      </c>
      <c r="D17" s="8" t="s">
        <v>753</v>
      </c>
      <c r="E17" s="8" t="s">
        <v>754</v>
      </c>
      <c r="F17" s="8" t="s">
        <v>687</v>
      </c>
      <c r="G17" s="8" t="s">
        <v>49</v>
      </c>
      <c r="H17" s="9">
        <v>4.8</v>
      </c>
      <c r="I17" s="9">
        <v>3.5</v>
      </c>
      <c r="J17" s="10">
        <v>400000</v>
      </c>
      <c r="K17" s="8" t="s">
        <v>755</v>
      </c>
      <c r="L17" s="8" t="s">
        <v>689</v>
      </c>
      <c r="M17" s="8" t="s">
        <v>756</v>
      </c>
      <c r="N17" s="8" t="s">
        <v>56</v>
      </c>
      <c r="O17" s="8" t="s">
        <v>757</v>
      </c>
    </row>
    <row r="18" spans="1:15" ht="30" x14ac:dyDescent="0.25">
      <c r="A18" s="8" t="s">
        <v>758</v>
      </c>
      <c r="B18" s="8" t="s">
        <v>752</v>
      </c>
      <c r="C18" s="8" t="s">
        <v>684</v>
      </c>
      <c r="D18" s="8" t="s">
        <v>759</v>
      </c>
      <c r="E18" s="8" t="s">
        <v>760</v>
      </c>
      <c r="F18" s="8" t="s">
        <v>687</v>
      </c>
      <c r="G18" s="8" t="s">
        <v>49</v>
      </c>
      <c r="H18" s="9">
        <v>5.4</v>
      </c>
      <c r="I18" s="9">
        <v>4</v>
      </c>
      <c r="J18" s="10">
        <v>530000</v>
      </c>
      <c r="K18" s="8" t="s">
        <v>761</v>
      </c>
      <c r="L18" s="8" t="s">
        <v>762</v>
      </c>
      <c r="M18" s="8" t="s">
        <v>760</v>
      </c>
      <c r="N18" s="8" t="s">
        <v>56</v>
      </c>
      <c r="O18" s="8"/>
    </row>
    <row r="19" spans="1:15" x14ac:dyDescent="0.25">
      <c r="A19" s="8" t="s">
        <v>763</v>
      </c>
      <c r="B19" s="8" t="s">
        <v>752</v>
      </c>
      <c r="C19" s="8" t="s">
        <v>684</v>
      </c>
      <c r="D19" s="8" t="s">
        <v>764</v>
      </c>
      <c r="E19" s="8" t="s">
        <v>765</v>
      </c>
      <c r="F19" s="8" t="s">
        <v>687</v>
      </c>
      <c r="G19" s="8" t="s">
        <v>49</v>
      </c>
      <c r="H19" s="9">
        <v>36</v>
      </c>
      <c r="I19" s="9">
        <v>26.5</v>
      </c>
      <c r="J19" s="10">
        <v>3360000</v>
      </c>
      <c r="K19" s="8" t="s">
        <v>766</v>
      </c>
      <c r="L19" s="8" t="s">
        <v>689</v>
      </c>
      <c r="M19" s="8" t="s">
        <v>765</v>
      </c>
      <c r="N19" s="8" t="s">
        <v>56</v>
      </c>
      <c r="O19" s="8"/>
    </row>
    <row r="20" spans="1:15" ht="30" x14ac:dyDescent="0.25">
      <c r="A20" s="8" t="s">
        <v>767</v>
      </c>
      <c r="B20" s="8" t="s">
        <v>752</v>
      </c>
      <c r="C20" s="8" t="s">
        <v>684</v>
      </c>
      <c r="D20" s="8" t="s">
        <v>768</v>
      </c>
      <c r="E20" s="8" t="s">
        <v>765</v>
      </c>
      <c r="F20" s="8" t="s">
        <v>687</v>
      </c>
      <c r="G20" s="8" t="s">
        <v>49</v>
      </c>
      <c r="H20" s="9">
        <v>42</v>
      </c>
      <c r="I20" s="9">
        <v>30.9</v>
      </c>
      <c r="J20" s="10">
        <v>3360000</v>
      </c>
      <c r="K20" s="8" t="s">
        <v>769</v>
      </c>
      <c r="L20" s="8" t="s">
        <v>689</v>
      </c>
      <c r="M20" s="8" t="s">
        <v>765</v>
      </c>
      <c r="N20" s="8" t="s">
        <v>56</v>
      </c>
      <c r="O20" s="8" t="s">
        <v>770</v>
      </c>
    </row>
    <row r="21" spans="1:15" ht="30" x14ac:dyDescent="0.25">
      <c r="A21" s="8" t="s">
        <v>771</v>
      </c>
      <c r="B21" s="8" t="s">
        <v>752</v>
      </c>
      <c r="C21" s="8" t="s">
        <v>684</v>
      </c>
      <c r="D21" s="8" t="s">
        <v>772</v>
      </c>
      <c r="E21" s="8" t="s">
        <v>765</v>
      </c>
      <c r="F21" s="8" t="s">
        <v>687</v>
      </c>
      <c r="G21" s="8" t="s">
        <v>49</v>
      </c>
      <c r="H21" s="9">
        <v>18</v>
      </c>
      <c r="I21" s="9">
        <v>13.2</v>
      </c>
      <c r="J21" s="10">
        <v>1660000</v>
      </c>
      <c r="K21" s="8" t="s">
        <v>773</v>
      </c>
      <c r="L21" s="8" t="s">
        <v>689</v>
      </c>
      <c r="M21" s="8" t="s">
        <v>765</v>
      </c>
      <c r="N21" s="8" t="s">
        <v>56</v>
      </c>
      <c r="O21" s="8"/>
    </row>
    <row r="22" spans="1:15" ht="30" x14ac:dyDescent="0.25">
      <c r="A22" s="8" t="s">
        <v>774</v>
      </c>
      <c r="B22" s="8" t="s">
        <v>752</v>
      </c>
      <c r="C22" s="8" t="s">
        <v>684</v>
      </c>
      <c r="D22" s="8" t="s">
        <v>775</v>
      </c>
      <c r="E22" s="8" t="s">
        <v>765</v>
      </c>
      <c r="F22" s="8" t="s">
        <v>687</v>
      </c>
      <c r="G22" s="8" t="s">
        <v>49</v>
      </c>
      <c r="H22" s="9">
        <v>29.8</v>
      </c>
      <c r="I22" s="9">
        <v>21.9</v>
      </c>
      <c r="J22" s="10">
        <v>2160000</v>
      </c>
      <c r="K22" s="8" t="s">
        <v>776</v>
      </c>
      <c r="L22" s="8" t="s">
        <v>689</v>
      </c>
      <c r="M22" s="8" t="s">
        <v>765</v>
      </c>
      <c r="N22" s="8" t="s">
        <v>56</v>
      </c>
      <c r="O22" s="8"/>
    </row>
    <row r="23" spans="1:15" x14ac:dyDescent="0.25">
      <c r="A23" s="8" t="s">
        <v>777</v>
      </c>
      <c r="B23" s="8" t="s">
        <v>778</v>
      </c>
      <c r="C23" s="8" t="s">
        <v>684</v>
      </c>
      <c r="D23" s="8" t="s">
        <v>779</v>
      </c>
      <c r="E23" s="8" t="s">
        <v>780</v>
      </c>
      <c r="F23" s="8" t="s">
        <v>687</v>
      </c>
      <c r="G23" s="8" t="s">
        <v>49</v>
      </c>
      <c r="H23" s="9">
        <v>13.5</v>
      </c>
      <c r="I23" s="9">
        <v>9.9</v>
      </c>
      <c r="J23" s="10">
        <v>720000</v>
      </c>
      <c r="K23" s="8" t="s">
        <v>781</v>
      </c>
      <c r="L23" s="8" t="s">
        <v>689</v>
      </c>
      <c r="M23" s="8" t="s">
        <v>782</v>
      </c>
      <c r="N23" s="8" t="s">
        <v>56</v>
      </c>
      <c r="O23" s="8"/>
    </row>
    <row r="24" spans="1:15" x14ac:dyDescent="0.25">
      <c r="A24" s="8" t="s">
        <v>783</v>
      </c>
      <c r="B24" s="8" t="s">
        <v>778</v>
      </c>
      <c r="C24" s="8" t="s">
        <v>684</v>
      </c>
      <c r="D24" s="8" t="s">
        <v>784</v>
      </c>
      <c r="E24" s="8" t="s">
        <v>780</v>
      </c>
      <c r="F24" s="8" t="s">
        <v>687</v>
      </c>
      <c r="G24" s="8" t="s">
        <v>49</v>
      </c>
      <c r="H24" s="9">
        <v>10.5</v>
      </c>
      <c r="I24" s="9">
        <v>7.7</v>
      </c>
      <c r="J24" s="10">
        <v>690000</v>
      </c>
      <c r="K24" s="8" t="s">
        <v>785</v>
      </c>
      <c r="L24" s="8" t="s">
        <v>689</v>
      </c>
      <c r="M24" s="8" t="s">
        <v>782</v>
      </c>
      <c r="N24" s="8" t="s">
        <v>56</v>
      </c>
      <c r="O24" s="8"/>
    </row>
    <row r="25" spans="1:15" ht="30" x14ac:dyDescent="0.25">
      <c r="A25" s="8" t="s">
        <v>786</v>
      </c>
      <c r="B25" s="8" t="s">
        <v>787</v>
      </c>
      <c r="C25" s="8" t="s">
        <v>24</v>
      </c>
      <c r="D25" s="8" t="s">
        <v>788</v>
      </c>
      <c r="E25" s="8" t="s">
        <v>789</v>
      </c>
      <c r="F25" s="8" t="s">
        <v>687</v>
      </c>
      <c r="G25" s="8" t="s">
        <v>49</v>
      </c>
      <c r="H25" s="9">
        <v>9</v>
      </c>
      <c r="I25" s="9">
        <v>6.6</v>
      </c>
      <c r="J25" s="10">
        <v>380000</v>
      </c>
      <c r="K25" s="8" t="s">
        <v>790</v>
      </c>
      <c r="L25" s="8" t="s">
        <v>689</v>
      </c>
      <c r="M25" s="8" t="s">
        <v>789</v>
      </c>
      <c r="N25" s="8" t="s">
        <v>56</v>
      </c>
      <c r="O25" s="8"/>
    </row>
    <row r="26" spans="1:15" x14ac:dyDescent="0.25">
      <c r="A26" s="8" t="s">
        <v>791</v>
      </c>
      <c r="B26" s="8" t="s">
        <v>792</v>
      </c>
      <c r="C26" s="8" t="s">
        <v>24</v>
      </c>
      <c r="D26" s="8" t="s">
        <v>793</v>
      </c>
      <c r="E26" s="8" t="s">
        <v>794</v>
      </c>
      <c r="F26" s="8" t="s">
        <v>795</v>
      </c>
      <c r="G26" s="8" t="s">
        <v>49</v>
      </c>
      <c r="H26" s="9">
        <v>6.1</v>
      </c>
      <c r="I26" s="9">
        <v>4.5</v>
      </c>
      <c r="J26" s="10">
        <v>140000</v>
      </c>
      <c r="K26" s="8" t="s">
        <v>796</v>
      </c>
      <c r="L26" s="8" t="s">
        <v>762</v>
      </c>
      <c r="M26" s="8" t="s">
        <v>794</v>
      </c>
      <c r="N26" s="8" t="s">
        <v>56</v>
      </c>
      <c r="O26" s="8" t="s">
        <v>797</v>
      </c>
    </row>
    <row r="27" spans="1:15" x14ac:dyDescent="0.25">
      <c r="A27" s="8" t="s">
        <v>798</v>
      </c>
      <c r="B27" s="8" t="s">
        <v>799</v>
      </c>
      <c r="C27" s="8" t="s">
        <v>24</v>
      </c>
      <c r="D27" s="8" t="s">
        <v>800</v>
      </c>
      <c r="E27" s="8" t="s">
        <v>801</v>
      </c>
      <c r="F27" s="8" t="s">
        <v>687</v>
      </c>
      <c r="G27" s="8" t="s">
        <v>49</v>
      </c>
      <c r="H27" s="9">
        <v>13</v>
      </c>
      <c r="I27" s="9">
        <v>9.6</v>
      </c>
      <c r="J27" s="10">
        <v>570000</v>
      </c>
      <c r="K27" s="8" t="s">
        <v>755</v>
      </c>
      <c r="L27" s="8" t="s">
        <v>689</v>
      </c>
      <c r="M27" s="8" t="s">
        <v>802</v>
      </c>
      <c r="N27" s="8" t="s">
        <v>56</v>
      </c>
      <c r="O27" s="8"/>
    </row>
    <row r="28" spans="1:15" ht="30" x14ac:dyDescent="0.25">
      <c r="A28" s="8" t="s">
        <v>803</v>
      </c>
      <c r="B28" s="8" t="s">
        <v>799</v>
      </c>
      <c r="C28" s="8" t="s">
        <v>24</v>
      </c>
      <c r="D28" s="8" t="s">
        <v>804</v>
      </c>
      <c r="E28" s="8" t="s">
        <v>805</v>
      </c>
      <c r="F28" s="8" t="s">
        <v>687</v>
      </c>
      <c r="G28" s="8" t="s">
        <v>49</v>
      </c>
      <c r="H28" s="9">
        <v>8.3000000000000007</v>
      </c>
      <c r="I28" s="9">
        <v>6.1</v>
      </c>
      <c r="J28" s="10">
        <v>330000</v>
      </c>
      <c r="K28" s="8" t="s">
        <v>806</v>
      </c>
      <c r="L28" s="8" t="s">
        <v>689</v>
      </c>
      <c r="M28" s="8" t="s">
        <v>807</v>
      </c>
      <c r="N28" s="8" t="s">
        <v>56</v>
      </c>
      <c r="O28" s="8"/>
    </row>
    <row r="29" spans="1:15" ht="30" x14ac:dyDescent="0.25">
      <c r="A29" s="8" t="s">
        <v>808</v>
      </c>
      <c r="B29" s="8" t="s">
        <v>799</v>
      </c>
      <c r="C29" s="8" t="s">
        <v>24</v>
      </c>
      <c r="D29" s="8" t="s">
        <v>809</v>
      </c>
      <c r="E29" s="8" t="s">
        <v>807</v>
      </c>
      <c r="F29" s="8" t="s">
        <v>687</v>
      </c>
      <c r="G29" s="8" t="s">
        <v>49</v>
      </c>
      <c r="H29" s="9">
        <v>3</v>
      </c>
      <c r="I29" s="9">
        <v>2.2000000000000002</v>
      </c>
      <c r="J29" s="10">
        <v>80000</v>
      </c>
      <c r="K29" s="8" t="s">
        <v>810</v>
      </c>
      <c r="L29" s="8" t="s">
        <v>762</v>
      </c>
      <c r="M29" s="8" t="s">
        <v>807</v>
      </c>
      <c r="N29" s="8" t="s">
        <v>56</v>
      </c>
      <c r="O29" s="8"/>
    </row>
    <row r="30" spans="1:15" x14ac:dyDescent="0.25">
      <c r="A30" s="8" t="s">
        <v>811</v>
      </c>
      <c r="B30" s="8" t="s">
        <v>799</v>
      </c>
      <c r="C30" s="8" t="s">
        <v>24</v>
      </c>
      <c r="D30" s="8" t="s">
        <v>812</v>
      </c>
      <c r="E30" s="8" t="s">
        <v>807</v>
      </c>
      <c r="F30" s="8" t="s">
        <v>687</v>
      </c>
      <c r="G30" s="8" t="s">
        <v>49</v>
      </c>
      <c r="H30" s="9">
        <v>10</v>
      </c>
      <c r="I30" s="9">
        <v>7.4</v>
      </c>
      <c r="J30" s="10">
        <v>360000</v>
      </c>
      <c r="K30" s="8" t="s">
        <v>813</v>
      </c>
      <c r="L30" s="8" t="s">
        <v>689</v>
      </c>
      <c r="M30" s="8" t="s">
        <v>807</v>
      </c>
      <c r="N30" s="8" t="s">
        <v>56</v>
      </c>
      <c r="O30" s="8"/>
    </row>
    <row r="31" spans="1:15" ht="45" x14ac:dyDescent="0.25">
      <c r="A31" s="8" t="s">
        <v>814</v>
      </c>
      <c r="B31" s="8" t="s">
        <v>815</v>
      </c>
      <c r="C31" s="8" t="s">
        <v>24</v>
      </c>
      <c r="D31" s="8" t="s">
        <v>816</v>
      </c>
      <c r="E31" s="8" t="s">
        <v>817</v>
      </c>
      <c r="F31" s="8" t="s">
        <v>795</v>
      </c>
      <c r="G31" s="8" t="s">
        <v>49</v>
      </c>
      <c r="H31" s="9">
        <v>3.5</v>
      </c>
      <c r="I31" s="9">
        <v>2.6</v>
      </c>
      <c r="J31" s="10">
        <v>170000</v>
      </c>
      <c r="K31" s="8" t="s">
        <v>818</v>
      </c>
      <c r="L31" s="8" t="s">
        <v>762</v>
      </c>
      <c r="M31" s="8" t="s">
        <v>819</v>
      </c>
      <c r="N31" s="8" t="s">
        <v>56</v>
      </c>
      <c r="O31" s="8"/>
    </row>
    <row r="32" spans="1:15" ht="30" x14ac:dyDescent="0.25">
      <c r="A32" s="8" t="s">
        <v>820</v>
      </c>
      <c r="B32" s="8" t="s">
        <v>815</v>
      </c>
      <c r="C32" s="8" t="s">
        <v>24</v>
      </c>
      <c r="D32" s="8" t="s">
        <v>821</v>
      </c>
      <c r="E32" s="8" t="s">
        <v>822</v>
      </c>
      <c r="F32" s="8" t="s">
        <v>795</v>
      </c>
      <c r="G32" s="8" t="s">
        <v>49</v>
      </c>
      <c r="H32" s="9">
        <v>5.2</v>
      </c>
      <c r="I32" s="9">
        <v>3.8</v>
      </c>
      <c r="J32" s="10">
        <v>340000</v>
      </c>
      <c r="K32" s="8" t="s">
        <v>823</v>
      </c>
      <c r="L32" s="8" t="s">
        <v>762</v>
      </c>
      <c r="M32" s="8" t="s">
        <v>819</v>
      </c>
      <c r="N32" s="8" t="s">
        <v>56</v>
      </c>
      <c r="O32" s="8" t="s">
        <v>824</v>
      </c>
    </row>
    <row r="33" spans="1:15" ht="45" x14ac:dyDescent="0.25">
      <c r="A33" s="8" t="s">
        <v>825</v>
      </c>
      <c r="B33" s="8" t="s">
        <v>815</v>
      </c>
      <c r="C33" s="8" t="s">
        <v>24</v>
      </c>
      <c r="D33" s="8" t="s">
        <v>826</v>
      </c>
      <c r="E33" s="8" t="s">
        <v>827</v>
      </c>
      <c r="F33" s="8" t="s">
        <v>795</v>
      </c>
      <c r="G33" s="8" t="s">
        <v>49</v>
      </c>
      <c r="H33" s="9">
        <v>7.5</v>
      </c>
      <c r="I33" s="9">
        <v>5.5</v>
      </c>
      <c r="J33" s="10">
        <v>170000</v>
      </c>
      <c r="K33" s="8" t="s">
        <v>828</v>
      </c>
      <c r="L33" s="8" t="s">
        <v>762</v>
      </c>
      <c r="M33" s="8" t="s">
        <v>829</v>
      </c>
      <c r="N33" s="8" t="s">
        <v>56</v>
      </c>
      <c r="O33" s="8" t="s">
        <v>830</v>
      </c>
    </row>
    <row r="34" spans="1:15" ht="45" x14ac:dyDescent="0.25">
      <c r="A34" s="8" t="s">
        <v>831</v>
      </c>
      <c r="B34" s="8" t="s">
        <v>832</v>
      </c>
      <c r="C34" s="8" t="s">
        <v>24</v>
      </c>
      <c r="D34" s="8" t="s">
        <v>833</v>
      </c>
      <c r="E34" s="8" t="s">
        <v>834</v>
      </c>
      <c r="F34" s="8" t="s">
        <v>795</v>
      </c>
      <c r="G34" s="8" t="s">
        <v>49</v>
      </c>
      <c r="H34" s="9">
        <v>5.5</v>
      </c>
      <c r="I34" s="9">
        <v>4</v>
      </c>
      <c r="J34" s="10">
        <v>170000</v>
      </c>
      <c r="K34" s="8" t="s">
        <v>835</v>
      </c>
      <c r="L34" s="8" t="s">
        <v>762</v>
      </c>
      <c r="M34" s="8" t="s">
        <v>834</v>
      </c>
      <c r="N34" s="8" t="s">
        <v>56</v>
      </c>
      <c r="O34" s="8" t="s">
        <v>836</v>
      </c>
    </row>
    <row r="35" spans="1:15" ht="30" x14ac:dyDescent="0.25">
      <c r="A35" s="8" t="s">
        <v>837</v>
      </c>
      <c r="B35" s="8" t="s">
        <v>832</v>
      </c>
      <c r="C35" s="8" t="s">
        <v>24</v>
      </c>
      <c r="D35" s="8" t="s">
        <v>838</v>
      </c>
      <c r="E35" s="8" t="s">
        <v>839</v>
      </c>
      <c r="F35" s="8" t="s">
        <v>687</v>
      </c>
      <c r="G35" s="8" t="s">
        <v>49</v>
      </c>
      <c r="H35" s="9">
        <v>7</v>
      </c>
      <c r="I35" s="9">
        <v>5.0999999999999996</v>
      </c>
      <c r="J35" s="10">
        <v>225000</v>
      </c>
      <c r="K35" s="8" t="s">
        <v>840</v>
      </c>
      <c r="L35" s="8" t="s">
        <v>689</v>
      </c>
      <c r="M35" s="8" t="s">
        <v>839</v>
      </c>
      <c r="N35" s="8" t="s">
        <v>56</v>
      </c>
      <c r="O35" s="8"/>
    </row>
    <row r="36" spans="1:15" x14ac:dyDescent="0.25">
      <c r="A36" s="8" t="s">
        <v>841</v>
      </c>
      <c r="B36" s="8" t="s">
        <v>842</v>
      </c>
      <c r="C36" s="8" t="s">
        <v>24</v>
      </c>
      <c r="D36" s="8" t="s">
        <v>843</v>
      </c>
      <c r="E36" s="8" t="s">
        <v>844</v>
      </c>
      <c r="F36" s="8" t="s">
        <v>687</v>
      </c>
      <c r="G36" s="8" t="s">
        <v>49</v>
      </c>
      <c r="H36" s="9">
        <v>9</v>
      </c>
      <c r="I36" s="9">
        <v>6.6</v>
      </c>
      <c r="J36" s="10">
        <v>250000</v>
      </c>
      <c r="K36" s="8" t="s">
        <v>711</v>
      </c>
      <c r="L36" s="8" t="s">
        <v>689</v>
      </c>
      <c r="M36" s="8" t="s">
        <v>845</v>
      </c>
      <c r="N36" s="8" t="s">
        <v>56</v>
      </c>
      <c r="O36" s="8" t="s">
        <v>846</v>
      </c>
    </row>
    <row r="37" spans="1:15" ht="30" x14ac:dyDescent="0.25">
      <c r="A37" s="8" t="s">
        <v>847</v>
      </c>
      <c r="B37" s="8" t="s">
        <v>842</v>
      </c>
      <c r="C37" s="8" t="s">
        <v>24</v>
      </c>
      <c r="D37" s="8" t="s">
        <v>848</v>
      </c>
      <c r="E37" s="8" t="s">
        <v>849</v>
      </c>
      <c r="F37" s="8" t="s">
        <v>687</v>
      </c>
      <c r="G37" s="8" t="s">
        <v>49</v>
      </c>
      <c r="H37" s="9">
        <v>3.4</v>
      </c>
      <c r="I37" s="9">
        <v>2.5</v>
      </c>
      <c r="J37" s="10">
        <v>100000</v>
      </c>
      <c r="K37" s="8" t="s">
        <v>850</v>
      </c>
      <c r="L37" s="8" t="s">
        <v>762</v>
      </c>
      <c r="M37" s="8" t="s">
        <v>849</v>
      </c>
      <c r="N37" s="8" t="s">
        <v>56</v>
      </c>
      <c r="O37" s="8"/>
    </row>
    <row r="38" spans="1:15" ht="30" x14ac:dyDescent="0.25">
      <c r="A38" s="8" t="s">
        <v>851</v>
      </c>
      <c r="B38" s="8" t="s">
        <v>842</v>
      </c>
      <c r="C38" s="8" t="s">
        <v>24</v>
      </c>
      <c r="D38" s="8" t="s">
        <v>852</v>
      </c>
      <c r="E38" s="8" t="s">
        <v>849</v>
      </c>
      <c r="F38" s="8" t="s">
        <v>795</v>
      </c>
      <c r="G38" s="8" t="s">
        <v>49</v>
      </c>
      <c r="H38" s="9">
        <v>5</v>
      </c>
      <c r="I38" s="9">
        <v>3.7</v>
      </c>
      <c r="J38" s="10">
        <v>170000</v>
      </c>
      <c r="K38" s="8" t="s">
        <v>853</v>
      </c>
      <c r="L38" s="8" t="s">
        <v>762</v>
      </c>
      <c r="M38" s="8" t="s">
        <v>849</v>
      </c>
      <c r="N38" s="8" t="s">
        <v>56</v>
      </c>
      <c r="O38" s="8" t="s">
        <v>854</v>
      </c>
    </row>
    <row r="39" spans="1:15" x14ac:dyDescent="0.25">
      <c r="A39" s="8" t="s">
        <v>855</v>
      </c>
      <c r="B39" s="8" t="s">
        <v>856</v>
      </c>
      <c r="C39" s="8" t="s">
        <v>24</v>
      </c>
      <c r="D39" s="8" t="s">
        <v>857</v>
      </c>
      <c r="E39" s="8" t="s">
        <v>858</v>
      </c>
      <c r="F39" s="8" t="s">
        <v>795</v>
      </c>
      <c r="G39" s="8" t="s">
        <v>49</v>
      </c>
      <c r="H39" s="9">
        <v>4</v>
      </c>
      <c r="I39" s="9">
        <v>2.9</v>
      </c>
      <c r="J39" s="10">
        <v>170000</v>
      </c>
      <c r="K39" s="8" t="s">
        <v>859</v>
      </c>
      <c r="L39" s="8" t="s">
        <v>762</v>
      </c>
      <c r="M39" s="8" t="s">
        <v>858</v>
      </c>
      <c r="N39" s="8" t="s">
        <v>56</v>
      </c>
      <c r="O39" s="8" t="s">
        <v>860</v>
      </c>
    </row>
    <row r="40" spans="1:15" ht="45" x14ac:dyDescent="0.25">
      <c r="A40" s="8" t="s">
        <v>861</v>
      </c>
      <c r="B40" s="8" t="s">
        <v>862</v>
      </c>
      <c r="C40" s="8" t="s">
        <v>24</v>
      </c>
      <c r="D40" s="8" t="s">
        <v>863</v>
      </c>
      <c r="E40" s="8" t="s">
        <v>864</v>
      </c>
      <c r="F40" s="8" t="s">
        <v>795</v>
      </c>
      <c r="G40" s="8" t="s">
        <v>49</v>
      </c>
      <c r="H40" s="9">
        <v>8</v>
      </c>
      <c r="I40" s="9">
        <v>5.9</v>
      </c>
      <c r="J40" s="10">
        <v>170000</v>
      </c>
      <c r="K40" s="8" t="s">
        <v>865</v>
      </c>
      <c r="L40" s="8" t="s">
        <v>689</v>
      </c>
      <c r="M40" s="8" t="s">
        <v>866</v>
      </c>
      <c r="N40" s="8" t="s">
        <v>56</v>
      </c>
      <c r="O40" s="8" t="s">
        <v>867</v>
      </c>
    </row>
    <row r="41" spans="1:15" x14ac:dyDescent="0.25">
      <c r="A41" s="8" t="s">
        <v>868</v>
      </c>
      <c r="B41" s="8" t="s">
        <v>862</v>
      </c>
      <c r="C41" s="8" t="s">
        <v>24</v>
      </c>
      <c r="D41" s="8" t="s">
        <v>869</v>
      </c>
      <c r="E41" s="8" t="s">
        <v>870</v>
      </c>
      <c r="F41" s="8" t="s">
        <v>687</v>
      </c>
      <c r="G41" s="8" t="s">
        <v>49</v>
      </c>
      <c r="H41" s="9">
        <v>16</v>
      </c>
      <c r="I41" s="9">
        <v>11.8</v>
      </c>
      <c r="J41" s="10">
        <v>540000</v>
      </c>
      <c r="K41" s="8" t="s">
        <v>871</v>
      </c>
      <c r="L41" s="8" t="s">
        <v>689</v>
      </c>
      <c r="M41" s="8" t="s">
        <v>872</v>
      </c>
      <c r="N41" s="8" t="s">
        <v>56</v>
      </c>
      <c r="O41" s="8" t="s">
        <v>873</v>
      </c>
    </row>
    <row r="42" spans="1:15" ht="30" x14ac:dyDescent="0.25">
      <c r="A42" s="8" t="s">
        <v>874</v>
      </c>
      <c r="B42" s="8" t="s">
        <v>875</v>
      </c>
      <c r="C42" s="8" t="s">
        <v>24</v>
      </c>
      <c r="D42" s="8" t="s">
        <v>876</v>
      </c>
      <c r="E42" s="8" t="s">
        <v>877</v>
      </c>
      <c r="F42" s="8" t="s">
        <v>687</v>
      </c>
      <c r="G42" s="8" t="s">
        <v>49</v>
      </c>
      <c r="H42" s="9">
        <v>8.3000000000000007</v>
      </c>
      <c r="I42" s="9">
        <v>6.1</v>
      </c>
      <c r="J42" s="10">
        <v>320000</v>
      </c>
      <c r="K42" s="8" t="s">
        <v>878</v>
      </c>
      <c r="L42" s="8" t="s">
        <v>689</v>
      </c>
      <c r="M42" s="8" t="s">
        <v>877</v>
      </c>
      <c r="N42" s="8" t="s">
        <v>56</v>
      </c>
      <c r="O42" s="8" t="s">
        <v>879</v>
      </c>
    </row>
    <row r="43" spans="1:15" ht="30" x14ac:dyDescent="0.25">
      <c r="A43" s="8" t="s">
        <v>880</v>
      </c>
      <c r="B43" s="8" t="s">
        <v>881</v>
      </c>
      <c r="C43" s="8" t="s">
        <v>24</v>
      </c>
      <c r="D43" s="8" t="s">
        <v>882</v>
      </c>
      <c r="E43" s="8" t="s">
        <v>883</v>
      </c>
      <c r="F43" s="8" t="s">
        <v>687</v>
      </c>
      <c r="G43" s="8" t="s">
        <v>49</v>
      </c>
      <c r="H43" s="9">
        <v>17.100000000000001</v>
      </c>
      <c r="I43" s="9">
        <v>12.6</v>
      </c>
      <c r="J43" s="10">
        <v>840000</v>
      </c>
      <c r="K43" s="8" t="s">
        <v>884</v>
      </c>
      <c r="L43" s="8" t="s">
        <v>689</v>
      </c>
      <c r="M43" s="8" t="s">
        <v>883</v>
      </c>
      <c r="N43" s="8" t="s">
        <v>56</v>
      </c>
      <c r="O43" s="8" t="s">
        <v>885</v>
      </c>
    </row>
    <row r="44" spans="1:15" x14ac:dyDescent="0.25">
      <c r="A44" s="8" t="s">
        <v>886</v>
      </c>
      <c r="B44" s="8" t="s">
        <v>881</v>
      </c>
      <c r="C44" s="8" t="s">
        <v>24</v>
      </c>
      <c r="D44" s="8" t="s">
        <v>887</v>
      </c>
      <c r="E44" s="8" t="s">
        <v>888</v>
      </c>
      <c r="F44" s="8" t="s">
        <v>687</v>
      </c>
      <c r="G44" s="8" t="s">
        <v>49</v>
      </c>
      <c r="H44" s="9">
        <v>7</v>
      </c>
      <c r="I44" s="9">
        <v>5.0999999999999996</v>
      </c>
      <c r="J44" s="10">
        <v>300000</v>
      </c>
      <c r="K44" s="8" t="s">
        <v>889</v>
      </c>
      <c r="L44" s="8" t="s">
        <v>689</v>
      </c>
      <c r="M44" s="8" t="s">
        <v>888</v>
      </c>
      <c r="N44" s="8" t="s">
        <v>56</v>
      </c>
      <c r="O44" s="8"/>
    </row>
    <row r="45" spans="1:15" ht="30" x14ac:dyDescent="0.25">
      <c r="A45" s="8" t="s">
        <v>890</v>
      </c>
      <c r="B45" s="8" t="s">
        <v>881</v>
      </c>
      <c r="C45" s="8" t="s">
        <v>24</v>
      </c>
      <c r="D45" s="8" t="s">
        <v>891</v>
      </c>
      <c r="E45" s="8" t="s">
        <v>883</v>
      </c>
      <c r="F45" s="8" t="s">
        <v>687</v>
      </c>
      <c r="G45" s="8" t="s">
        <v>49</v>
      </c>
      <c r="H45" s="9">
        <v>11.8</v>
      </c>
      <c r="I45" s="9">
        <v>8.6999999999999993</v>
      </c>
      <c r="J45" s="10">
        <v>587000</v>
      </c>
      <c r="K45" s="8" t="s">
        <v>110</v>
      </c>
      <c r="L45" s="8" t="s">
        <v>689</v>
      </c>
      <c r="M45" s="8" t="s">
        <v>883</v>
      </c>
      <c r="N45" s="8" t="s">
        <v>56</v>
      </c>
      <c r="O45" s="8"/>
    </row>
    <row r="46" spans="1:15" ht="30" x14ac:dyDescent="0.25">
      <c r="A46" s="8" t="s">
        <v>892</v>
      </c>
      <c r="B46" s="8" t="s">
        <v>881</v>
      </c>
      <c r="C46" s="8" t="s">
        <v>24</v>
      </c>
      <c r="D46" s="8" t="s">
        <v>893</v>
      </c>
      <c r="E46" s="8" t="s">
        <v>883</v>
      </c>
      <c r="F46" s="8" t="s">
        <v>687</v>
      </c>
      <c r="G46" s="8" t="s">
        <v>49</v>
      </c>
      <c r="H46" s="9">
        <v>8</v>
      </c>
      <c r="I46" s="9">
        <v>5.9</v>
      </c>
      <c r="J46" s="10">
        <v>300000</v>
      </c>
      <c r="K46" s="8" t="s">
        <v>894</v>
      </c>
      <c r="L46" s="8" t="s">
        <v>689</v>
      </c>
      <c r="M46" s="8" t="s">
        <v>883</v>
      </c>
      <c r="N46" s="8" t="s">
        <v>56</v>
      </c>
      <c r="O46" s="8" t="s">
        <v>895</v>
      </c>
    </row>
    <row r="47" spans="1:15" x14ac:dyDescent="0.25">
      <c r="A47" s="8" t="s">
        <v>896</v>
      </c>
      <c r="B47" s="8" t="s">
        <v>881</v>
      </c>
      <c r="C47" s="8" t="s">
        <v>24</v>
      </c>
      <c r="D47" s="8" t="s">
        <v>897</v>
      </c>
      <c r="E47" s="8" t="s">
        <v>883</v>
      </c>
      <c r="F47" s="8" t="s">
        <v>687</v>
      </c>
      <c r="G47" s="8" t="s">
        <v>49</v>
      </c>
      <c r="H47" s="9">
        <v>11.8</v>
      </c>
      <c r="I47" s="9">
        <v>8.6999999999999993</v>
      </c>
      <c r="J47" s="10">
        <v>610000</v>
      </c>
      <c r="K47" s="8" t="s">
        <v>898</v>
      </c>
      <c r="L47" s="8" t="s">
        <v>689</v>
      </c>
      <c r="M47" s="8" t="s">
        <v>883</v>
      </c>
      <c r="N47" s="8" t="s">
        <v>56</v>
      </c>
      <c r="O47" s="8"/>
    </row>
    <row r="48" spans="1:15" ht="30" x14ac:dyDescent="0.25">
      <c r="A48" s="8" t="s">
        <v>899</v>
      </c>
      <c r="B48" s="8" t="s">
        <v>881</v>
      </c>
      <c r="C48" s="8" t="s">
        <v>24</v>
      </c>
      <c r="D48" s="8" t="s">
        <v>900</v>
      </c>
      <c r="E48" s="8" t="s">
        <v>901</v>
      </c>
      <c r="F48" s="8" t="s">
        <v>687</v>
      </c>
      <c r="G48" s="8" t="s">
        <v>49</v>
      </c>
      <c r="H48" s="9">
        <v>3.6</v>
      </c>
      <c r="I48" s="9">
        <v>2.6</v>
      </c>
      <c r="J48" s="10">
        <v>300000</v>
      </c>
      <c r="K48" s="8" t="s">
        <v>902</v>
      </c>
      <c r="L48" s="8" t="s">
        <v>689</v>
      </c>
      <c r="M48" s="8" t="s">
        <v>901</v>
      </c>
      <c r="N48" s="8" t="s">
        <v>56</v>
      </c>
      <c r="O48" s="8" t="s">
        <v>903</v>
      </c>
    </row>
    <row r="49" spans="1:15" x14ac:dyDescent="0.25">
      <c r="A49" s="8" t="s">
        <v>904</v>
      </c>
      <c r="B49" s="8" t="s">
        <v>881</v>
      </c>
      <c r="C49" s="8" t="s">
        <v>24</v>
      </c>
      <c r="D49" s="8" t="s">
        <v>905</v>
      </c>
      <c r="E49" s="8" t="s">
        <v>906</v>
      </c>
      <c r="F49" s="8" t="s">
        <v>687</v>
      </c>
      <c r="G49" s="8" t="s">
        <v>49</v>
      </c>
      <c r="H49" s="9">
        <v>8.8000000000000007</v>
      </c>
      <c r="I49" s="9">
        <v>6.5</v>
      </c>
      <c r="J49" s="10">
        <v>600000</v>
      </c>
      <c r="K49" s="8" t="s">
        <v>907</v>
      </c>
      <c r="L49" s="8" t="s">
        <v>689</v>
      </c>
      <c r="M49" s="8" t="s">
        <v>883</v>
      </c>
      <c r="N49" s="8" t="s">
        <v>56</v>
      </c>
      <c r="O49" s="8"/>
    </row>
    <row r="50" spans="1:15" ht="30" x14ac:dyDescent="0.25">
      <c r="A50" s="8" t="s">
        <v>908</v>
      </c>
      <c r="B50" s="8" t="s">
        <v>909</v>
      </c>
      <c r="C50" s="8" t="s">
        <v>24</v>
      </c>
      <c r="D50" s="8" t="s">
        <v>910</v>
      </c>
      <c r="E50" s="8" t="s">
        <v>911</v>
      </c>
      <c r="F50" s="8" t="s">
        <v>795</v>
      </c>
      <c r="G50" s="8" t="s">
        <v>49</v>
      </c>
      <c r="H50" s="9">
        <v>7.4</v>
      </c>
      <c r="I50" s="9">
        <v>5.4</v>
      </c>
      <c r="J50" s="10">
        <v>170000</v>
      </c>
      <c r="K50" s="8" t="s">
        <v>912</v>
      </c>
      <c r="L50" s="8" t="s">
        <v>762</v>
      </c>
      <c r="M50" s="8" t="s">
        <v>911</v>
      </c>
      <c r="N50" s="8" t="s">
        <v>56</v>
      </c>
      <c r="O50" s="8"/>
    </row>
    <row r="51" spans="1:15" ht="45" x14ac:dyDescent="0.25">
      <c r="A51" s="8" t="s">
        <v>913</v>
      </c>
      <c r="B51" s="8" t="s">
        <v>909</v>
      </c>
      <c r="C51" s="8" t="s">
        <v>24</v>
      </c>
      <c r="D51" s="8" t="s">
        <v>914</v>
      </c>
      <c r="E51" s="8" t="s">
        <v>911</v>
      </c>
      <c r="F51" s="8" t="s">
        <v>687</v>
      </c>
      <c r="G51" s="8" t="s">
        <v>49</v>
      </c>
      <c r="H51" s="9">
        <v>8.1999999999999993</v>
      </c>
      <c r="I51" s="9">
        <v>6</v>
      </c>
      <c r="J51" s="10">
        <v>255000</v>
      </c>
      <c r="K51" s="8" t="s">
        <v>915</v>
      </c>
      <c r="L51" s="8" t="s">
        <v>762</v>
      </c>
      <c r="M51" s="8" t="s">
        <v>911</v>
      </c>
      <c r="N51" s="8" t="s">
        <v>56</v>
      </c>
      <c r="O51" s="8"/>
    </row>
    <row r="52" spans="1:15" x14ac:dyDescent="0.25">
      <c r="A52" s="8" t="s">
        <v>916</v>
      </c>
      <c r="B52" s="8" t="s">
        <v>917</v>
      </c>
      <c r="C52" s="8" t="s">
        <v>24</v>
      </c>
      <c r="D52" s="8" t="s">
        <v>918</v>
      </c>
      <c r="E52" s="8" t="s">
        <v>919</v>
      </c>
      <c r="F52" s="8" t="s">
        <v>687</v>
      </c>
      <c r="G52" s="8" t="s">
        <v>49</v>
      </c>
      <c r="H52" s="9">
        <v>8.4</v>
      </c>
      <c r="I52" s="9">
        <v>6.2</v>
      </c>
      <c r="J52" s="10">
        <v>320000</v>
      </c>
      <c r="K52" s="8" t="s">
        <v>920</v>
      </c>
      <c r="L52" s="8" t="s">
        <v>689</v>
      </c>
      <c r="M52" s="8" t="s">
        <v>918</v>
      </c>
      <c r="N52" s="8" t="s">
        <v>56</v>
      </c>
      <c r="O52" s="8" t="s">
        <v>921</v>
      </c>
    </row>
    <row r="53" spans="1:15" ht="30" x14ac:dyDescent="0.25">
      <c r="A53" s="8" t="s">
        <v>922</v>
      </c>
      <c r="B53" s="8" t="s">
        <v>917</v>
      </c>
      <c r="C53" s="8" t="s">
        <v>24</v>
      </c>
      <c r="D53" s="8" t="s">
        <v>923</v>
      </c>
      <c r="E53" s="8" t="s">
        <v>924</v>
      </c>
      <c r="F53" s="8" t="s">
        <v>687</v>
      </c>
      <c r="G53" s="8" t="s">
        <v>49</v>
      </c>
      <c r="H53" s="9">
        <v>19.5</v>
      </c>
      <c r="I53" s="9">
        <v>14.3</v>
      </c>
      <c r="J53" s="10">
        <v>1000000</v>
      </c>
      <c r="K53" s="8" t="s">
        <v>925</v>
      </c>
      <c r="L53" s="8" t="s">
        <v>689</v>
      </c>
      <c r="M53" s="8" t="s">
        <v>926</v>
      </c>
      <c r="N53" s="8" t="s">
        <v>56</v>
      </c>
      <c r="O53" s="8" t="s">
        <v>927</v>
      </c>
    </row>
    <row r="54" spans="1:15" ht="30" x14ac:dyDescent="0.25">
      <c r="A54" s="8" t="s">
        <v>928</v>
      </c>
      <c r="B54" s="8" t="s">
        <v>917</v>
      </c>
      <c r="C54" s="8" t="s">
        <v>24</v>
      </c>
      <c r="D54" s="8" t="s">
        <v>929</v>
      </c>
      <c r="E54" s="8" t="s">
        <v>930</v>
      </c>
      <c r="F54" s="8" t="s">
        <v>687</v>
      </c>
      <c r="G54" s="8" t="s">
        <v>49</v>
      </c>
      <c r="H54" s="9">
        <v>15.6</v>
      </c>
      <c r="I54" s="9">
        <v>11.5</v>
      </c>
      <c r="J54" s="10">
        <v>775000</v>
      </c>
      <c r="K54" s="8" t="s">
        <v>781</v>
      </c>
      <c r="L54" s="8" t="s">
        <v>689</v>
      </c>
      <c r="M54" s="8" t="s">
        <v>931</v>
      </c>
      <c r="N54" s="8" t="s">
        <v>56</v>
      </c>
      <c r="O54" s="8" t="s">
        <v>921</v>
      </c>
    </row>
    <row r="55" spans="1:15" x14ac:dyDescent="0.25">
      <c r="A55" s="8" t="s">
        <v>932</v>
      </c>
      <c r="B55" s="8" t="s">
        <v>933</v>
      </c>
      <c r="C55" s="8" t="s">
        <v>25</v>
      </c>
      <c r="D55" s="8" t="s">
        <v>934</v>
      </c>
      <c r="E55" s="8" t="s">
        <v>935</v>
      </c>
      <c r="F55" s="8" t="s">
        <v>795</v>
      </c>
      <c r="G55" s="8" t="s">
        <v>49</v>
      </c>
      <c r="H55" s="9">
        <v>11</v>
      </c>
      <c r="I55" s="9">
        <v>8.1</v>
      </c>
      <c r="J55" s="10">
        <v>150000</v>
      </c>
      <c r="K55" s="8" t="s">
        <v>936</v>
      </c>
      <c r="L55" s="8" t="s">
        <v>762</v>
      </c>
      <c r="M55" s="8" t="s">
        <v>937</v>
      </c>
      <c r="N55" s="8" t="s">
        <v>56</v>
      </c>
      <c r="O55" s="8" t="s">
        <v>938</v>
      </c>
    </row>
    <row r="56" spans="1:15" ht="30" x14ac:dyDescent="0.25">
      <c r="A56" s="8" t="s">
        <v>939</v>
      </c>
      <c r="B56" s="8" t="s">
        <v>940</v>
      </c>
      <c r="C56" s="8" t="s">
        <v>25</v>
      </c>
      <c r="D56" s="8" t="s">
        <v>941</v>
      </c>
      <c r="E56" s="8" t="s">
        <v>942</v>
      </c>
      <c r="F56" s="8" t="s">
        <v>795</v>
      </c>
      <c r="G56" s="8" t="s">
        <v>49</v>
      </c>
      <c r="H56" s="9">
        <v>11</v>
      </c>
      <c r="I56" s="9">
        <v>8.1</v>
      </c>
      <c r="J56" s="10">
        <v>170000</v>
      </c>
      <c r="K56" s="8" t="s">
        <v>943</v>
      </c>
      <c r="L56" s="8" t="s">
        <v>762</v>
      </c>
      <c r="M56" s="8" t="s">
        <v>942</v>
      </c>
      <c r="N56" s="8" t="s">
        <v>56</v>
      </c>
      <c r="O56" s="8" t="s">
        <v>944</v>
      </c>
    </row>
    <row r="57" spans="1:15" x14ac:dyDescent="0.25">
      <c r="A57" s="8" t="s">
        <v>945</v>
      </c>
      <c r="B57" s="8" t="s">
        <v>940</v>
      </c>
      <c r="C57" s="8" t="s">
        <v>25</v>
      </c>
      <c r="D57" s="8" t="s">
        <v>946</v>
      </c>
      <c r="E57" s="8" t="s">
        <v>942</v>
      </c>
      <c r="F57" s="8" t="s">
        <v>795</v>
      </c>
      <c r="G57" s="8" t="s">
        <v>49</v>
      </c>
      <c r="H57" s="9">
        <v>7</v>
      </c>
      <c r="I57" s="9">
        <v>5.0999999999999996</v>
      </c>
      <c r="J57" s="10">
        <v>170000</v>
      </c>
      <c r="K57" s="8" t="s">
        <v>947</v>
      </c>
      <c r="L57" s="8" t="s">
        <v>762</v>
      </c>
      <c r="M57" s="8" t="s">
        <v>942</v>
      </c>
      <c r="N57" s="8" t="s">
        <v>56</v>
      </c>
      <c r="O57" s="8" t="s">
        <v>948</v>
      </c>
    </row>
    <row r="58" spans="1:15" ht="30" x14ac:dyDescent="0.25">
      <c r="A58" s="8" t="s">
        <v>949</v>
      </c>
      <c r="B58" s="8" t="s">
        <v>548</v>
      </c>
      <c r="C58" s="8" t="s">
        <v>27</v>
      </c>
      <c r="D58" s="8" t="s">
        <v>950</v>
      </c>
      <c r="E58" s="8" t="s">
        <v>951</v>
      </c>
      <c r="F58" s="8" t="s">
        <v>687</v>
      </c>
      <c r="G58" s="8" t="s">
        <v>49</v>
      </c>
      <c r="H58" s="9">
        <v>4.4000000000000004</v>
      </c>
      <c r="I58" s="9">
        <v>3.2</v>
      </c>
      <c r="J58" s="10">
        <v>300000</v>
      </c>
      <c r="K58" s="8" t="s">
        <v>952</v>
      </c>
      <c r="L58" s="8" t="s">
        <v>762</v>
      </c>
      <c r="M58" s="8" t="s">
        <v>953</v>
      </c>
      <c r="N58" s="8" t="s">
        <v>56</v>
      </c>
      <c r="O58" s="8"/>
    </row>
    <row r="59" spans="1:15" x14ac:dyDescent="0.25">
      <c r="A59" s="8" t="s">
        <v>954</v>
      </c>
      <c r="B59" s="8" t="s">
        <v>955</v>
      </c>
      <c r="C59" s="8" t="s">
        <v>29</v>
      </c>
      <c r="D59" s="8" t="s">
        <v>956</v>
      </c>
      <c r="E59" s="8" t="s">
        <v>957</v>
      </c>
      <c r="F59" s="8" t="s">
        <v>687</v>
      </c>
      <c r="G59" s="8" t="s">
        <v>49</v>
      </c>
      <c r="H59" s="9">
        <v>9</v>
      </c>
      <c r="I59" s="9">
        <v>6.6</v>
      </c>
      <c r="J59" s="10">
        <v>800000</v>
      </c>
      <c r="K59" s="8" t="s">
        <v>958</v>
      </c>
      <c r="L59" s="8" t="s">
        <v>689</v>
      </c>
      <c r="M59" s="8" t="s">
        <v>959</v>
      </c>
      <c r="N59" s="8" t="s">
        <v>56</v>
      </c>
      <c r="O59" s="8" t="s">
        <v>960</v>
      </c>
    </row>
    <row r="60" spans="1:15" x14ac:dyDescent="0.25">
      <c r="A60" s="8" t="s">
        <v>961</v>
      </c>
      <c r="B60" s="8" t="s">
        <v>962</v>
      </c>
      <c r="C60" s="8" t="s">
        <v>963</v>
      </c>
      <c r="D60" s="8" t="s">
        <v>964</v>
      </c>
      <c r="E60" s="8" t="s">
        <v>965</v>
      </c>
      <c r="F60" s="8" t="s">
        <v>687</v>
      </c>
      <c r="G60" s="8" t="s">
        <v>49</v>
      </c>
      <c r="H60" s="9">
        <v>23.8</v>
      </c>
      <c r="I60" s="9">
        <v>17.5</v>
      </c>
      <c r="J60" s="10">
        <v>648000</v>
      </c>
      <c r="K60" s="8" t="s">
        <v>966</v>
      </c>
      <c r="L60" s="8" t="s">
        <v>689</v>
      </c>
      <c r="M60" s="8" t="s">
        <v>967</v>
      </c>
      <c r="N60" s="8" t="s">
        <v>56</v>
      </c>
      <c r="O60" s="8" t="s">
        <v>968</v>
      </c>
    </row>
    <row r="61" spans="1:15" x14ac:dyDescent="0.25">
      <c r="A61" s="8" t="s">
        <v>969</v>
      </c>
      <c r="B61" s="8" t="s">
        <v>962</v>
      </c>
      <c r="C61" s="8" t="s">
        <v>963</v>
      </c>
      <c r="D61" s="8" t="s">
        <v>970</v>
      </c>
      <c r="E61" s="8" t="s">
        <v>971</v>
      </c>
      <c r="F61" s="8" t="s">
        <v>687</v>
      </c>
      <c r="G61" s="8" t="s">
        <v>49</v>
      </c>
      <c r="H61" s="9">
        <v>6.8</v>
      </c>
      <c r="I61" s="9">
        <v>5</v>
      </c>
      <c r="J61" s="10">
        <v>360000</v>
      </c>
      <c r="K61" s="8" t="s">
        <v>972</v>
      </c>
      <c r="L61" s="8" t="s">
        <v>762</v>
      </c>
      <c r="M61" s="8" t="s">
        <v>973</v>
      </c>
      <c r="N61" s="8" t="s">
        <v>56</v>
      </c>
      <c r="O61" s="8" t="s">
        <v>974</v>
      </c>
    </row>
    <row r="62" spans="1:15" x14ac:dyDescent="0.25">
      <c r="A62" s="8" t="s">
        <v>975</v>
      </c>
      <c r="B62" s="8" t="s">
        <v>962</v>
      </c>
      <c r="C62" s="8" t="s">
        <v>963</v>
      </c>
      <c r="D62" s="8" t="s">
        <v>976</v>
      </c>
      <c r="E62" s="8" t="s">
        <v>977</v>
      </c>
      <c r="F62" s="8" t="s">
        <v>687</v>
      </c>
      <c r="G62" s="8" t="s">
        <v>49</v>
      </c>
      <c r="H62" s="9">
        <v>6.8</v>
      </c>
      <c r="I62" s="9">
        <v>5</v>
      </c>
      <c r="J62" s="10">
        <v>360000</v>
      </c>
      <c r="K62" s="8" t="s">
        <v>978</v>
      </c>
      <c r="L62" s="8" t="s">
        <v>762</v>
      </c>
      <c r="M62" s="8" t="s">
        <v>979</v>
      </c>
      <c r="N62" s="8" t="s">
        <v>56</v>
      </c>
      <c r="O62" s="8" t="s">
        <v>980</v>
      </c>
    </row>
    <row r="63" spans="1:15" x14ac:dyDescent="0.25">
      <c r="A63" s="8" t="s">
        <v>981</v>
      </c>
      <c r="B63" s="8" t="s">
        <v>962</v>
      </c>
      <c r="C63" s="8" t="s">
        <v>963</v>
      </c>
      <c r="D63" s="8" t="s">
        <v>982</v>
      </c>
      <c r="E63" s="8" t="s">
        <v>983</v>
      </c>
      <c r="F63" s="8" t="s">
        <v>687</v>
      </c>
      <c r="G63" s="8" t="s">
        <v>49</v>
      </c>
      <c r="H63" s="9">
        <v>6.8</v>
      </c>
      <c r="I63" s="9">
        <v>5</v>
      </c>
      <c r="J63" s="10">
        <v>320000</v>
      </c>
      <c r="K63" s="8" t="s">
        <v>984</v>
      </c>
      <c r="L63" s="8" t="s">
        <v>762</v>
      </c>
      <c r="M63" s="8" t="s">
        <v>137</v>
      </c>
      <c r="N63" s="8" t="s">
        <v>56</v>
      </c>
      <c r="O63" s="8"/>
    </row>
    <row r="64" spans="1:15" x14ac:dyDescent="0.25">
      <c r="A64" s="8" t="s">
        <v>985</v>
      </c>
      <c r="B64" s="8" t="s">
        <v>962</v>
      </c>
      <c r="C64" s="8" t="s">
        <v>963</v>
      </c>
      <c r="D64" s="8" t="s">
        <v>986</v>
      </c>
      <c r="E64" s="8" t="s">
        <v>965</v>
      </c>
      <c r="F64" s="8" t="s">
        <v>687</v>
      </c>
      <c r="G64" s="8" t="s">
        <v>49</v>
      </c>
      <c r="H64" s="9">
        <v>6.8</v>
      </c>
      <c r="I64" s="9">
        <v>5</v>
      </c>
      <c r="J64" s="10">
        <v>320000</v>
      </c>
      <c r="K64" s="8" t="s">
        <v>987</v>
      </c>
      <c r="L64" s="8" t="s">
        <v>762</v>
      </c>
      <c r="M64" s="8" t="s">
        <v>967</v>
      </c>
      <c r="N64" s="8" t="s">
        <v>56</v>
      </c>
      <c r="O64" s="8" t="s">
        <v>988</v>
      </c>
    </row>
    <row r="65" spans="1:15" x14ac:dyDescent="0.25">
      <c r="A65" s="8" t="s">
        <v>989</v>
      </c>
      <c r="B65" s="8" t="s">
        <v>962</v>
      </c>
      <c r="C65" s="8" t="s">
        <v>963</v>
      </c>
      <c r="D65" s="8" t="s">
        <v>990</v>
      </c>
      <c r="E65" s="8" t="s">
        <v>991</v>
      </c>
      <c r="F65" s="8" t="s">
        <v>687</v>
      </c>
      <c r="G65" s="8" t="s">
        <v>49</v>
      </c>
      <c r="H65" s="9">
        <v>6.8</v>
      </c>
      <c r="I65" s="9">
        <v>5</v>
      </c>
      <c r="J65" s="10">
        <v>320000</v>
      </c>
      <c r="K65" s="8" t="s">
        <v>992</v>
      </c>
      <c r="L65" s="8" t="s">
        <v>762</v>
      </c>
      <c r="M65" s="8" t="s">
        <v>973</v>
      </c>
      <c r="N65" s="8" t="s">
        <v>56</v>
      </c>
      <c r="O65" s="8"/>
    </row>
    <row r="66" spans="1:15" ht="30" x14ac:dyDescent="0.25">
      <c r="A66" s="8" t="s">
        <v>993</v>
      </c>
      <c r="B66" s="8" t="s">
        <v>994</v>
      </c>
      <c r="C66" s="8" t="s">
        <v>963</v>
      </c>
      <c r="D66" s="8" t="s">
        <v>995</v>
      </c>
      <c r="E66" s="8" t="s">
        <v>996</v>
      </c>
      <c r="F66" s="8" t="s">
        <v>795</v>
      </c>
      <c r="G66" s="8" t="s">
        <v>49</v>
      </c>
      <c r="H66" s="9">
        <v>5.5</v>
      </c>
      <c r="I66" s="9">
        <v>4</v>
      </c>
      <c r="J66" s="10">
        <v>170000</v>
      </c>
      <c r="K66" s="8" t="s">
        <v>997</v>
      </c>
      <c r="L66" s="8" t="s">
        <v>762</v>
      </c>
      <c r="M66" s="8" t="s">
        <v>996</v>
      </c>
      <c r="N66" s="8" t="s">
        <v>56</v>
      </c>
      <c r="O66" s="8"/>
    </row>
    <row r="67" spans="1:15" ht="30" x14ac:dyDescent="0.25">
      <c r="A67" s="8" t="s">
        <v>998</v>
      </c>
      <c r="B67" s="8" t="s">
        <v>994</v>
      </c>
      <c r="C67" s="8" t="s">
        <v>963</v>
      </c>
      <c r="D67" s="8" t="s">
        <v>999</v>
      </c>
      <c r="E67" s="8" t="s">
        <v>1000</v>
      </c>
      <c r="F67" s="8" t="s">
        <v>795</v>
      </c>
      <c r="G67" s="8" t="s">
        <v>49</v>
      </c>
      <c r="H67" s="9">
        <v>5.5</v>
      </c>
      <c r="I67" s="9">
        <v>4</v>
      </c>
      <c r="J67" s="10">
        <v>170000</v>
      </c>
      <c r="K67" s="8" t="s">
        <v>1001</v>
      </c>
      <c r="L67" s="8" t="s">
        <v>762</v>
      </c>
      <c r="M67" s="8" t="s">
        <v>1002</v>
      </c>
      <c r="N67" s="8" t="s">
        <v>56</v>
      </c>
      <c r="O67" s="8"/>
    </row>
  </sheetData>
  <autoFilter ref="A1:O6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4" customWidth="1"/>
    <col min="4" max="5" width="32" customWidth="1"/>
    <col min="6" max="6" width="10" customWidth="1"/>
    <col min="7" max="10" width="14" customWidth="1"/>
    <col min="11" max="11" width="12" customWidth="1"/>
    <col min="12" max="12" width="9" customWidth="1"/>
    <col min="13" max="13" width="24" customWidth="1"/>
    <col min="14" max="14" width="11" customWidth="1"/>
    <col min="15" max="15" width="36" customWidth="1"/>
  </cols>
  <sheetData>
    <row r="1" spans="1:15" x14ac:dyDescent="0.25">
      <c r="A1" s="7" t="s">
        <v>31</v>
      </c>
      <c r="B1" s="7" t="s">
        <v>32</v>
      </c>
      <c r="C1" s="7" t="s">
        <v>19</v>
      </c>
      <c r="D1" s="7" t="s">
        <v>33</v>
      </c>
      <c r="E1" s="7" t="s">
        <v>34</v>
      </c>
      <c r="F1" s="7" t="s">
        <v>676</v>
      </c>
      <c r="G1" s="7" t="s">
        <v>36</v>
      </c>
      <c r="H1" s="7" t="s">
        <v>677</v>
      </c>
      <c r="I1" s="7" t="s">
        <v>678</v>
      </c>
      <c r="J1" s="7" t="s">
        <v>679</v>
      </c>
      <c r="K1" s="7" t="s">
        <v>680</v>
      </c>
      <c r="L1" s="7" t="s">
        <v>681</v>
      </c>
      <c r="M1" s="7" t="s">
        <v>42</v>
      </c>
      <c r="N1" s="7" t="s">
        <v>43</v>
      </c>
      <c r="O1" s="7" t="s">
        <v>44</v>
      </c>
    </row>
    <row r="2" spans="1:15" x14ac:dyDescent="0.25">
      <c r="A2" s="8" t="s">
        <v>1003</v>
      </c>
      <c r="B2" s="8" t="s">
        <v>683</v>
      </c>
      <c r="C2" s="8" t="s">
        <v>684</v>
      </c>
      <c r="D2" s="8" t="s">
        <v>1004</v>
      </c>
      <c r="E2" s="8" t="s">
        <v>692</v>
      </c>
      <c r="F2" s="8" t="s">
        <v>687</v>
      </c>
      <c r="G2" s="8" t="s">
        <v>557</v>
      </c>
      <c r="H2" s="9">
        <v>8.5</v>
      </c>
      <c r="I2" s="9">
        <v>6.3</v>
      </c>
      <c r="J2" s="10">
        <v>800000</v>
      </c>
      <c r="K2" s="8" t="s">
        <v>551</v>
      </c>
      <c r="L2" s="8" t="s">
        <v>689</v>
      </c>
      <c r="M2" s="8" t="s">
        <v>692</v>
      </c>
      <c r="N2" s="8" t="s">
        <v>56</v>
      </c>
      <c r="O2" s="8" t="s">
        <v>1005</v>
      </c>
    </row>
    <row r="3" spans="1:15" ht="30" x14ac:dyDescent="0.25">
      <c r="A3" s="8" t="s">
        <v>1006</v>
      </c>
      <c r="B3" s="8" t="s">
        <v>815</v>
      </c>
      <c r="C3" s="8" t="s">
        <v>24</v>
      </c>
      <c r="D3" s="8" t="s">
        <v>1007</v>
      </c>
      <c r="E3" s="8" t="s">
        <v>1008</v>
      </c>
      <c r="F3" s="8" t="s">
        <v>687</v>
      </c>
      <c r="G3" s="8" t="s">
        <v>557</v>
      </c>
      <c r="H3" s="9">
        <v>13.3</v>
      </c>
      <c r="I3" s="9">
        <v>9.8000000000000007</v>
      </c>
      <c r="J3" s="10">
        <v>260000</v>
      </c>
      <c r="K3" s="8" t="s">
        <v>586</v>
      </c>
      <c r="L3" s="8" t="s">
        <v>689</v>
      </c>
      <c r="M3" s="8" t="s">
        <v>1009</v>
      </c>
      <c r="N3" s="8" t="s">
        <v>56</v>
      </c>
      <c r="O3" s="8" t="s">
        <v>1010</v>
      </c>
    </row>
  </sheetData>
  <autoFilter ref="A1:O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6" customWidth="1"/>
    <col min="3" max="3" width="24" customWidth="1"/>
    <col min="4" max="4" width="22" customWidth="1"/>
    <col min="5" max="5" width="32" customWidth="1"/>
  </cols>
  <sheetData>
    <row r="1" spans="1:5" x14ac:dyDescent="0.25">
      <c r="A1" s="11" t="s">
        <v>1011</v>
      </c>
      <c r="B1" s="11" t="s">
        <v>1012</v>
      </c>
      <c r="C1" s="11" t="s">
        <v>1013</v>
      </c>
      <c r="D1" s="11" t="s">
        <v>1014</v>
      </c>
      <c r="E1" s="11" t="s">
        <v>1015</v>
      </c>
    </row>
    <row r="2" spans="1:5" x14ac:dyDescent="0.25">
      <c r="A2">
        <v>1977</v>
      </c>
      <c r="B2" s="12">
        <v>22.5</v>
      </c>
      <c r="C2" s="12">
        <v>0</v>
      </c>
      <c r="D2" s="12">
        <v>22.5</v>
      </c>
      <c r="E2" s="12">
        <v>22.5</v>
      </c>
    </row>
    <row r="3" spans="1:5" x14ac:dyDescent="0.25">
      <c r="A3">
        <v>1983</v>
      </c>
      <c r="B3" s="12">
        <v>8.4</v>
      </c>
      <c r="C3" s="12">
        <v>0</v>
      </c>
      <c r="D3" s="12">
        <v>8.4</v>
      </c>
      <c r="E3" s="12">
        <v>30.9</v>
      </c>
    </row>
    <row r="4" spans="1:5" x14ac:dyDescent="0.25">
      <c r="A4">
        <v>1989</v>
      </c>
      <c r="B4" s="12">
        <v>5</v>
      </c>
      <c r="C4" s="12">
        <v>0</v>
      </c>
      <c r="D4" s="12">
        <v>5</v>
      </c>
      <c r="E4" s="12">
        <v>35.9</v>
      </c>
    </row>
    <row r="5" spans="1:5" x14ac:dyDescent="0.25">
      <c r="A5">
        <v>1992</v>
      </c>
      <c r="B5" s="12">
        <v>2.5</v>
      </c>
      <c r="C5" s="12">
        <v>0</v>
      </c>
      <c r="D5" s="12">
        <v>2.5</v>
      </c>
      <c r="E5" s="12">
        <v>38.4</v>
      </c>
    </row>
    <row r="6" spans="1:5" x14ac:dyDescent="0.25">
      <c r="A6">
        <v>1995</v>
      </c>
      <c r="B6" s="12">
        <v>9.6</v>
      </c>
      <c r="C6" s="12">
        <v>0</v>
      </c>
      <c r="D6" s="12">
        <v>9.6</v>
      </c>
      <c r="E6" s="12">
        <v>48</v>
      </c>
    </row>
    <row r="7" spans="1:5" x14ac:dyDescent="0.25">
      <c r="A7">
        <v>1997</v>
      </c>
      <c r="B7" s="12">
        <v>6.6</v>
      </c>
      <c r="C7" s="12">
        <v>0</v>
      </c>
      <c r="D7" s="12">
        <v>6.6</v>
      </c>
      <c r="E7" s="12">
        <v>54.6</v>
      </c>
    </row>
    <row r="8" spans="1:5" x14ac:dyDescent="0.25">
      <c r="A8">
        <v>1999</v>
      </c>
      <c r="B8" s="12">
        <v>13.1</v>
      </c>
      <c r="C8" s="12">
        <v>0</v>
      </c>
      <c r="D8" s="12">
        <v>13.1</v>
      </c>
      <c r="E8" s="12">
        <v>67.7</v>
      </c>
    </row>
    <row r="9" spans="1:5" x14ac:dyDescent="0.25">
      <c r="A9">
        <v>2002</v>
      </c>
      <c r="B9" s="12">
        <v>6.5</v>
      </c>
      <c r="C9" s="12">
        <v>0</v>
      </c>
      <c r="D9" s="12">
        <v>6.5</v>
      </c>
      <c r="E9" s="12">
        <v>74.2</v>
      </c>
    </row>
    <row r="10" spans="1:5" x14ac:dyDescent="0.25">
      <c r="A10">
        <v>2003</v>
      </c>
      <c r="B10" s="12">
        <v>11.2</v>
      </c>
      <c r="C10" s="12">
        <v>0</v>
      </c>
      <c r="D10" s="12">
        <v>11.2</v>
      </c>
      <c r="E10" s="12">
        <v>85.4</v>
      </c>
    </row>
    <row r="11" spans="1:5" x14ac:dyDescent="0.25">
      <c r="A11">
        <v>2004</v>
      </c>
      <c r="B11" s="12">
        <v>18.5</v>
      </c>
      <c r="C11" s="12">
        <v>0</v>
      </c>
      <c r="D11" s="12">
        <v>18.5</v>
      </c>
      <c r="E11" s="12">
        <v>103.9</v>
      </c>
    </row>
    <row r="12" spans="1:5" x14ac:dyDescent="0.25">
      <c r="A12">
        <v>2005</v>
      </c>
      <c r="B12" s="12">
        <v>25.8</v>
      </c>
      <c r="C12" s="12">
        <v>0</v>
      </c>
      <c r="D12" s="12">
        <v>25.8</v>
      </c>
      <c r="E12" s="12">
        <v>129.69999999999999</v>
      </c>
    </row>
    <row r="13" spans="1:5" x14ac:dyDescent="0.25">
      <c r="A13">
        <v>2007</v>
      </c>
      <c r="B13" s="12">
        <v>8.3999999999999986</v>
      </c>
      <c r="C13" s="12">
        <v>0</v>
      </c>
      <c r="D13" s="12">
        <v>8.3999999999999986</v>
      </c>
      <c r="E13" s="12">
        <v>138.1</v>
      </c>
    </row>
    <row r="14" spans="1:5" x14ac:dyDescent="0.25">
      <c r="A14">
        <v>2008</v>
      </c>
      <c r="B14" s="12">
        <v>4.4000000000000004</v>
      </c>
      <c r="C14" s="12">
        <v>0</v>
      </c>
      <c r="D14" s="12">
        <v>4.4000000000000004</v>
      </c>
      <c r="E14" s="12">
        <v>142.5</v>
      </c>
    </row>
    <row r="15" spans="1:5" x14ac:dyDescent="0.25">
      <c r="A15">
        <v>2009</v>
      </c>
      <c r="B15" s="12">
        <v>48.399999999999991</v>
      </c>
      <c r="C15" s="12">
        <v>0</v>
      </c>
      <c r="D15" s="12">
        <v>48.399999999999991</v>
      </c>
      <c r="E15" s="12">
        <v>190.9</v>
      </c>
    </row>
    <row r="16" spans="1:5" x14ac:dyDescent="0.25">
      <c r="A16">
        <v>2010</v>
      </c>
      <c r="B16" s="12">
        <v>7.8</v>
      </c>
      <c r="C16" s="12">
        <v>0</v>
      </c>
      <c r="D16" s="12">
        <v>7.8</v>
      </c>
      <c r="E16" s="12">
        <v>198.7</v>
      </c>
    </row>
    <row r="17" spans="1:5" x14ac:dyDescent="0.25">
      <c r="A17">
        <v>2011</v>
      </c>
      <c r="B17" s="12">
        <v>7.8</v>
      </c>
      <c r="C17" s="12">
        <v>0</v>
      </c>
      <c r="D17" s="12">
        <v>7.8</v>
      </c>
      <c r="E17" s="12">
        <v>206.50000000000011</v>
      </c>
    </row>
    <row r="18" spans="1:5" x14ac:dyDescent="0.25">
      <c r="A18">
        <v>2012</v>
      </c>
      <c r="B18" s="12">
        <v>4.9000000000000004</v>
      </c>
      <c r="C18" s="12">
        <v>0</v>
      </c>
      <c r="D18" s="12">
        <v>4.9000000000000004</v>
      </c>
      <c r="E18" s="12">
        <v>211.40000000000009</v>
      </c>
    </row>
    <row r="19" spans="1:5" x14ac:dyDescent="0.25">
      <c r="A19">
        <v>2014</v>
      </c>
      <c r="B19" s="12">
        <v>12.4</v>
      </c>
      <c r="C19" s="12">
        <v>0</v>
      </c>
      <c r="D19" s="12">
        <v>12.4</v>
      </c>
      <c r="E19" s="12">
        <v>223.8000000000001</v>
      </c>
    </row>
    <row r="20" spans="1:5" x14ac:dyDescent="0.25">
      <c r="A20">
        <v>2015</v>
      </c>
      <c r="B20" s="12">
        <v>14.4</v>
      </c>
      <c r="C20" s="12">
        <v>0</v>
      </c>
      <c r="D20" s="12">
        <v>14.4</v>
      </c>
      <c r="E20" s="12">
        <v>238.2000000000001</v>
      </c>
    </row>
    <row r="21" spans="1:5" x14ac:dyDescent="0.25">
      <c r="A21">
        <v>2016</v>
      </c>
      <c r="B21" s="12">
        <v>27.8</v>
      </c>
      <c r="C21" s="12">
        <v>0</v>
      </c>
      <c r="D21" s="12">
        <v>27.8</v>
      </c>
      <c r="E21" s="12">
        <v>266.00000000000011</v>
      </c>
    </row>
    <row r="22" spans="1:5" x14ac:dyDescent="0.25">
      <c r="A22">
        <v>2017</v>
      </c>
      <c r="B22" s="12">
        <v>28.95</v>
      </c>
      <c r="C22" s="12">
        <v>0</v>
      </c>
      <c r="D22" s="12">
        <v>28.95</v>
      </c>
      <c r="E22" s="12">
        <v>294.95</v>
      </c>
    </row>
    <row r="23" spans="1:5" x14ac:dyDescent="0.25">
      <c r="A23">
        <v>2018</v>
      </c>
      <c r="B23" s="12">
        <v>29.6</v>
      </c>
      <c r="C23" s="12">
        <v>0</v>
      </c>
      <c r="D23" s="12">
        <v>29.6</v>
      </c>
      <c r="E23" s="12">
        <v>324.55000000000013</v>
      </c>
    </row>
    <row r="24" spans="1:5" x14ac:dyDescent="0.25">
      <c r="A24">
        <v>2019</v>
      </c>
      <c r="B24" s="12">
        <v>26.2</v>
      </c>
      <c r="C24" s="12">
        <v>0</v>
      </c>
      <c r="D24" s="12">
        <v>26.2</v>
      </c>
      <c r="E24" s="12">
        <v>350.75000000000011</v>
      </c>
    </row>
    <row r="25" spans="1:5" x14ac:dyDescent="0.25">
      <c r="A25">
        <v>2020</v>
      </c>
      <c r="B25" s="12">
        <v>20.7</v>
      </c>
      <c r="C25" s="12">
        <v>0</v>
      </c>
      <c r="D25" s="12">
        <v>20.7</v>
      </c>
      <c r="E25" s="12">
        <v>371.45</v>
      </c>
    </row>
    <row r="26" spans="1:5" x14ac:dyDescent="0.25">
      <c r="A26">
        <v>2021</v>
      </c>
      <c r="B26" s="12">
        <v>6.9</v>
      </c>
      <c r="C26" s="12">
        <v>0</v>
      </c>
      <c r="D26" s="12">
        <v>6.9</v>
      </c>
      <c r="E26" s="12">
        <v>378.35</v>
      </c>
    </row>
    <row r="27" spans="1:5" x14ac:dyDescent="0.25">
      <c r="A27">
        <v>2022</v>
      </c>
      <c r="B27" s="12">
        <v>17.899999999999999</v>
      </c>
      <c r="C27" s="12">
        <v>0</v>
      </c>
      <c r="D27" s="12">
        <v>17.899999999999999</v>
      </c>
      <c r="E27" s="12">
        <v>396.25</v>
      </c>
    </row>
    <row r="28" spans="1:5" x14ac:dyDescent="0.25">
      <c r="A28">
        <v>2023</v>
      </c>
      <c r="B28" s="12">
        <v>3.8</v>
      </c>
      <c r="C28" s="12">
        <v>0</v>
      </c>
      <c r="D28" s="12">
        <v>3.8</v>
      </c>
      <c r="E28" s="12">
        <v>400.05</v>
      </c>
    </row>
    <row r="29" spans="1:5" x14ac:dyDescent="0.25">
      <c r="A29">
        <v>2024</v>
      </c>
      <c r="B29" s="12">
        <v>0</v>
      </c>
      <c r="C29" s="12">
        <v>10</v>
      </c>
      <c r="D29" s="12">
        <v>10</v>
      </c>
      <c r="E29" s="12">
        <v>410.05</v>
      </c>
    </row>
    <row r="30" spans="1:5" x14ac:dyDescent="0.25">
      <c r="A30">
        <v>2025</v>
      </c>
      <c r="B30" s="12">
        <v>9.6999999999999993</v>
      </c>
      <c r="C30" s="12">
        <v>0</v>
      </c>
      <c r="D30" s="12">
        <v>9.6999999999999993</v>
      </c>
      <c r="E30" s="12">
        <v>419.75</v>
      </c>
    </row>
    <row r="31" spans="1:5" x14ac:dyDescent="0.25">
      <c r="A31">
        <v>2026</v>
      </c>
      <c r="B31" s="12">
        <v>7</v>
      </c>
      <c r="C31" s="12">
        <v>45.05</v>
      </c>
      <c r="D31" s="12">
        <v>52.05</v>
      </c>
      <c r="E31" s="12">
        <v>471.8</v>
      </c>
    </row>
    <row r="32" spans="1:5" x14ac:dyDescent="0.25">
      <c r="A32">
        <v>2027</v>
      </c>
      <c r="B32" s="12">
        <v>0</v>
      </c>
      <c r="C32" s="12">
        <v>53.2</v>
      </c>
      <c r="D32" s="12">
        <v>53.2</v>
      </c>
      <c r="E32" s="12">
        <v>525</v>
      </c>
    </row>
    <row r="33" spans="1:5" x14ac:dyDescent="0.25">
      <c r="A33">
        <v>2028</v>
      </c>
      <c r="B33" s="12">
        <v>0</v>
      </c>
      <c r="C33" s="12">
        <v>33.6</v>
      </c>
      <c r="D33" s="12">
        <v>33.6</v>
      </c>
      <c r="E33" s="12">
        <v>558.6</v>
      </c>
    </row>
    <row r="34" spans="1:5" x14ac:dyDescent="0.25">
      <c r="A34">
        <v>2029</v>
      </c>
      <c r="B34" s="12">
        <v>0</v>
      </c>
      <c r="C34" s="12">
        <v>14.44</v>
      </c>
      <c r="D34" s="12">
        <v>14.44</v>
      </c>
      <c r="E34" s="12">
        <v>573.04000000000008</v>
      </c>
    </row>
    <row r="35" spans="1:5" x14ac:dyDescent="0.25">
      <c r="A35">
        <v>2030</v>
      </c>
      <c r="B35" s="12">
        <v>0</v>
      </c>
      <c r="C35" s="12">
        <v>15.44</v>
      </c>
      <c r="D35" s="12">
        <v>15.44</v>
      </c>
      <c r="E35" s="12">
        <v>588.48000000000013</v>
      </c>
    </row>
    <row r="36" spans="1:5" x14ac:dyDescent="0.25">
      <c r="A36">
        <v>2031</v>
      </c>
      <c r="B36" s="12">
        <v>0</v>
      </c>
      <c r="C36" s="12">
        <v>9</v>
      </c>
      <c r="D36" s="12">
        <v>9</v>
      </c>
      <c r="E36" s="12">
        <v>597.48000000000013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16" customWidth="1"/>
    <col min="4" max="5" width="12" customWidth="1"/>
    <col min="6" max="6" width="14" customWidth="1"/>
    <col min="7" max="7" width="80" customWidth="1"/>
    <col min="8" max="8" width="28" customWidth="1"/>
    <col min="9" max="9" width="11" customWidth="1"/>
  </cols>
  <sheetData>
    <row r="1" spans="1:9" x14ac:dyDescent="0.25">
      <c r="A1" s="7" t="s">
        <v>31</v>
      </c>
      <c r="B1" s="7" t="s">
        <v>1016</v>
      </c>
      <c r="C1" s="7" t="s">
        <v>676</v>
      </c>
      <c r="D1" s="7" t="s">
        <v>680</v>
      </c>
      <c r="E1" s="7" t="s">
        <v>1017</v>
      </c>
      <c r="F1" s="7" t="s">
        <v>1018</v>
      </c>
      <c r="G1" s="7" t="s">
        <v>1019</v>
      </c>
      <c r="H1" s="7" t="s">
        <v>42</v>
      </c>
      <c r="I1" s="7" t="s">
        <v>43</v>
      </c>
    </row>
    <row r="2" spans="1:9" ht="30" x14ac:dyDescent="0.25">
      <c r="A2" s="8" t="s">
        <v>167</v>
      </c>
      <c r="B2" s="8" t="s">
        <v>1020</v>
      </c>
      <c r="C2" s="8" t="s">
        <v>1021</v>
      </c>
      <c r="D2" s="8" t="s">
        <v>1022</v>
      </c>
      <c r="E2" s="8" t="s">
        <v>1023</v>
      </c>
      <c r="F2" s="9">
        <v>4</v>
      </c>
      <c r="G2" s="8" t="s">
        <v>1024</v>
      </c>
      <c r="H2" s="8" t="s">
        <v>1025</v>
      </c>
      <c r="I2" s="8" t="s">
        <v>56</v>
      </c>
    </row>
    <row r="3" spans="1:9" ht="45" x14ac:dyDescent="0.25">
      <c r="A3" s="8" t="s">
        <v>649</v>
      </c>
      <c r="B3" s="8" t="s">
        <v>1026</v>
      </c>
      <c r="C3" s="8" t="s">
        <v>1027</v>
      </c>
      <c r="D3" s="8" t="s">
        <v>1028</v>
      </c>
      <c r="E3" s="8" t="s">
        <v>1029</v>
      </c>
      <c r="F3" s="9">
        <v>6.44</v>
      </c>
      <c r="G3" s="8" t="s">
        <v>1030</v>
      </c>
      <c r="H3" s="8" t="s">
        <v>1031</v>
      </c>
      <c r="I3" s="8" t="s">
        <v>273</v>
      </c>
    </row>
    <row r="4" spans="1:9" ht="30" x14ac:dyDescent="0.25">
      <c r="A4" s="8" t="s">
        <v>658</v>
      </c>
      <c r="B4" s="8" t="s">
        <v>1026</v>
      </c>
      <c r="C4" s="8" t="s">
        <v>1027</v>
      </c>
      <c r="D4" s="8" t="s">
        <v>1028</v>
      </c>
      <c r="E4" s="8" t="s">
        <v>1029</v>
      </c>
      <c r="F4" s="9">
        <v>6.44</v>
      </c>
      <c r="G4" s="8" t="s">
        <v>1032</v>
      </c>
      <c r="H4" s="8" t="s">
        <v>62</v>
      </c>
      <c r="I4" s="8" t="s">
        <v>273</v>
      </c>
    </row>
    <row r="5" spans="1:9" ht="30" x14ac:dyDescent="0.25">
      <c r="A5" s="8" t="s">
        <v>82</v>
      </c>
      <c r="B5" s="8" t="s">
        <v>1033</v>
      </c>
      <c r="C5" s="8" t="s">
        <v>1034</v>
      </c>
      <c r="D5" s="8" t="s">
        <v>1035</v>
      </c>
      <c r="E5" s="8" t="s">
        <v>1036</v>
      </c>
      <c r="F5" s="9">
        <v>1.5</v>
      </c>
      <c r="G5" s="8" t="s">
        <v>1037</v>
      </c>
      <c r="H5" s="8" t="s">
        <v>1038</v>
      </c>
      <c r="I5" s="8" t="s">
        <v>56</v>
      </c>
    </row>
    <row r="6" spans="1:9" ht="30" x14ac:dyDescent="0.25">
      <c r="A6" s="8" t="s">
        <v>326</v>
      </c>
      <c r="B6" s="8" t="s">
        <v>1039</v>
      </c>
      <c r="C6" s="8" t="s">
        <v>1021</v>
      </c>
      <c r="D6" s="8" t="s">
        <v>1040</v>
      </c>
      <c r="E6" s="8" t="s">
        <v>1041</v>
      </c>
      <c r="F6" s="9">
        <v>5</v>
      </c>
      <c r="G6" s="8" t="s">
        <v>1042</v>
      </c>
      <c r="H6" s="8" t="s">
        <v>1043</v>
      </c>
      <c r="I6" s="8" t="s">
        <v>56</v>
      </c>
    </row>
    <row r="7" spans="1:9" ht="30" x14ac:dyDescent="0.25">
      <c r="A7" s="8" t="s">
        <v>333</v>
      </c>
      <c r="B7" s="8" t="s">
        <v>1039</v>
      </c>
      <c r="C7" s="8" t="s">
        <v>1021</v>
      </c>
      <c r="D7" s="8" t="s">
        <v>1040</v>
      </c>
      <c r="E7" s="8" t="s">
        <v>1041</v>
      </c>
      <c r="F7" s="9">
        <v>5</v>
      </c>
      <c r="G7" s="8" t="s">
        <v>1044</v>
      </c>
      <c r="H7" s="8" t="s">
        <v>1043</v>
      </c>
      <c r="I7" s="8" t="s">
        <v>56</v>
      </c>
    </row>
    <row r="8" spans="1:9" ht="30" x14ac:dyDescent="0.25">
      <c r="A8" s="8" t="s">
        <v>335</v>
      </c>
      <c r="B8" s="8" t="s">
        <v>1039</v>
      </c>
      <c r="C8" s="8" t="s">
        <v>1021</v>
      </c>
      <c r="D8" s="8" t="s">
        <v>1040</v>
      </c>
      <c r="E8" s="8" t="s">
        <v>1041</v>
      </c>
      <c r="F8" s="9">
        <v>5</v>
      </c>
      <c r="G8" s="8" t="s">
        <v>1045</v>
      </c>
      <c r="H8" s="8" t="s">
        <v>1043</v>
      </c>
      <c r="I8" s="8" t="s">
        <v>56</v>
      </c>
    </row>
    <row r="9" spans="1:9" ht="30" x14ac:dyDescent="0.25">
      <c r="A9" s="8" t="s">
        <v>191</v>
      </c>
      <c r="B9" s="8" t="s">
        <v>1046</v>
      </c>
      <c r="C9" s="8" t="s">
        <v>1027</v>
      </c>
      <c r="D9" s="8" t="s">
        <v>1047</v>
      </c>
      <c r="E9" s="8" t="s">
        <v>1048</v>
      </c>
      <c r="F9" s="9">
        <v>3</v>
      </c>
      <c r="G9" s="8" t="s">
        <v>1049</v>
      </c>
      <c r="H9" s="8" t="s">
        <v>1050</v>
      </c>
      <c r="I9" s="8" t="s">
        <v>56</v>
      </c>
    </row>
    <row r="10" spans="1:9" ht="30" x14ac:dyDescent="0.25">
      <c r="A10" s="8" t="s">
        <v>200</v>
      </c>
      <c r="B10" s="8" t="s">
        <v>1046</v>
      </c>
      <c r="C10" s="8" t="s">
        <v>1027</v>
      </c>
      <c r="D10" s="8" t="s">
        <v>1047</v>
      </c>
      <c r="E10" s="8" t="s">
        <v>1048</v>
      </c>
      <c r="F10" s="9">
        <v>2</v>
      </c>
      <c r="G10" s="8" t="s">
        <v>1051</v>
      </c>
      <c r="H10" s="8" t="s">
        <v>1052</v>
      </c>
      <c r="I10" s="8" t="s">
        <v>56</v>
      </c>
    </row>
    <row r="11" spans="1:9" ht="90" x14ac:dyDescent="0.25">
      <c r="A11" s="8" t="s">
        <v>513</v>
      </c>
      <c r="B11" s="8" t="s">
        <v>1053</v>
      </c>
      <c r="C11" s="8" t="s">
        <v>1054</v>
      </c>
      <c r="D11" s="8" t="s">
        <v>1055</v>
      </c>
      <c r="E11" s="8"/>
      <c r="F11" s="9">
        <v>5.3</v>
      </c>
      <c r="G11" s="8" t="s">
        <v>1056</v>
      </c>
      <c r="H11" s="8" t="s">
        <v>1057</v>
      </c>
      <c r="I11" s="8" t="s">
        <v>273</v>
      </c>
    </row>
    <row r="12" spans="1:9" ht="30" x14ac:dyDescent="0.25">
      <c r="A12" s="8" t="s">
        <v>497</v>
      </c>
      <c r="B12" s="8" t="s">
        <v>1058</v>
      </c>
      <c r="C12" s="8" t="s">
        <v>1059</v>
      </c>
      <c r="D12" s="8" t="s">
        <v>1060</v>
      </c>
      <c r="E12" s="8"/>
      <c r="F12" s="9">
        <v>6.6</v>
      </c>
      <c r="G12" s="8" t="s">
        <v>1061</v>
      </c>
      <c r="H12" s="8" t="s">
        <v>1062</v>
      </c>
      <c r="I12" s="8" t="s">
        <v>56</v>
      </c>
    </row>
    <row r="13" spans="1:9" ht="30" x14ac:dyDescent="0.25">
      <c r="A13" s="8" t="s">
        <v>506</v>
      </c>
      <c r="B13" s="8" t="s">
        <v>1063</v>
      </c>
      <c r="C13" s="8" t="s">
        <v>1059</v>
      </c>
      <c r="D13" s="8" t="s">
        <v>1060</v>
      </c>
      <c r="E13" s="8"/>
      <c r="F13" s="9">
        <v>6.6</v>
      </c>
      <c r="G13" s="8" t="s">
        <v>1064</v>
      </c>
      <c r="H13" s="8" t="s">
        <v>1062</v>
      </c>
      <c r="I13" s="8" t="s">
        <v>56</v>
      </c>
    </row>
    <row r="14" spans="1:9" ht="45" x14ac:dyDescent="0.25">
      <c r="A14" s="8" t="s">
        <v>530</v>
      </c>
      <c r="B14" s="8" t="s">
        <v>1065</v>
      </c>
      <c r="C14" s="8" t="s">
        <v>1059</v>
      </c>
      <c r="D14" s="8" t="s">
        <v>1066</v>
      </c>
      <c r="E14" s="8" t="s">
        <v>534</v>
      </c>
      <c r="F14" s="9">
        <v>5.2</v>
      </c>
      <c r="G14" s="8" t="s">
        <v>1067</v>
      </c>
      <c r="H14" s="8" t="s">
        <v>1068</v>
      </c>
      <c r="I14" s="8" t="s">
        <v>273</v>
      </c>
    </row>
    <row r="15" spans="1:9" ht="60" x14ac:dyDescent="0.25">
      <c r="A15" s="8" t="s">
        <v>521</v>
      </c>
      <c r="B15" s="8" t="s">
        <v>1069</v>
      </c>
      <c r="C15" s="8" t="s">
        <v>1059</v>
      </c>
      <c r="D15" s="8" t="s">
        <v>1070</v>
      </c>
      <c r="E15" s="8"/>
      <c r="F15" s="9">
        <v>3</v>
      </c>
      <c r="G15" s="8" t="s">
        <v>1071</v>
      </c>
      <c r="H15" s="8" t="s">
        <v>1072</v>
      </c>
      <c r="I15" s="8" t="s">
        <v>273</v>
      </c>
    </row>
    <row r="16" spans="1:9" ht="45" x14ac:dyDescent="0.25">
      <c r="A16" s="8" t="s">
        <v>460</v>
      </c>
      <c r="B16" s="8" t="s">
        <v>1073</v>
      </c>
      <c r="C16" s="8" t="s">
        <v>1074</v>
      </c>
      <c r="D16" s="8" t="s">
        <v>465</v>
      </c>
      <c r="E16" s="8" t="s">
        <v>1075</v>
      </c>
      <c r="F16" s="9">
        <v>1</v>
      </c>
      <c r="G16" s="8" t="s">
        <v>1076</v>
      </c>
      <c r="H16" s="8" t="s">
        <v>1077</v>
      </c>
      <c r="I16" s="8" t="s">
        <v>273</v>
      </c>
    </row>
    <row r="17" spans="1:9" ht="60" x14ac:dyDescent="0.25">
      <c r="A17" s="8" t="s">
        <v>563</v>
      </c>
      <c r="B17" s="8" t="s">
        <v>1078</v>
      </c>
      <c r="C17" s="8" t="s">
        <v>1074</v>
      </c>
      <c r="D17" s="8" t="s">
        <v>1079</v>
      </c>
      <c r="E17" s="8"/>
      <c r="F17" s="9">
        <v>1.5</v>
      </c>
      <c r="G17" s="8" t="s">
        <v>1080</v>
      </c>
      <c r="H17" s="8" t="s">
        <v>1081</v>
      </c>
      <c r="I17" s="8" t="s">
        <v>273</v>
      </c>
    </row>
    <row r="18" spans="1:9" ht="60" x14ac:dyDescent="0.25">
      <c r="A18" s="8" t="s">
        <v>539</v>
      </c>
      <c r="B18" s="8" t="s">
        <v>1082</v>
      </c>
      <c r="C18" s="8" t="s">
        <v>1074</v>
      </c>
      <c r="D18" s="8" t="s">
        <v>1083</v>
      </c>
      <c r="E18" s="8"/>
      <c r="F18" s="9">
        <v>2</v>
      </c>
      <c r="G18" s="8" t="s">
        <v>1084</v>
      </c>
      <c r="H18" s="8" t="s">
        <v>1085</v>
      </c>
      <c r="I18" s="8" t="s">
        <v>273</v>
      </c>
    </row>
    <row r="19" spans="1:9" ht="75" x14ac:dyDescent="0.25">
      <c r="A19" s="8" t="s">
        <v>147</v>
      </c>
      <c r="B19" s="8" t="s">
        <v>1086</v>
      </c>
      <c r="C19" s="8" t="s">
        <v>1021</v>
      </c>
      <c r="D19" s="8" t="s">
        <v>1087</v>
      </c>
      <c r="E19" s="8" t="s">
        <v>1088</v>
      </c>
      <c r="F19" s="9">
        <v>4.45</v>
      </c>
      <c r="G19" s="8" t="s">
        <v>1089</v>
      </c>
      <c r="H19" s="8" t="s">
        <v>1090</v>
      </c>
      <c r="I19" s="8" t="s">
        <v>273</v>
      </c>
    </row>
    <row r="20" spans="1:9" ht="30" x14ac:dyDescent="0.25">
      <c r="A20" s="8" t="s">
        <v>153</v>
      </c>
      <c r="B20" s="8" t="s">
        <v>1086</v>
      </c>
      <c r="C20" s="8" t="s">
        <v>1021</v>
      </c>
      <c r="D20" s="8" t="s">
        <v>1087</v>
      </c>
      <c r="E20" s="8" t="s">
        <v>1088</v>
      </c>
      <c r="F20" s="9">
        <v>4.45</v>
      </c>
      <c r="G20" s="8" t="s">
        <v>1091</v>
      </c>
      <c r="H20" s="8" t="s">
        <v>1092</v>
      </c>
      <c r="I20" s="8" t="s">
        <v>273</v>
      </c>
    </row>
    <row r="21" spans="1:9" ht="45" x14ac:dyDescent="0.25">
      <c r="A21" s="8" t="s">
        <v>333</v>
      </c>
      <c r="B21" s="8" t="s">
        <v>1093</v>
      </c>
      <c r="C21" s="8" t="s">
        <v>1034</v>
      </c>
      <c r="D21" s="8" t="s">
        <v>1094</v>
      </c>
      <c r="E21" s="8" t="s">
        <v>1095</v>
      </c>
      <c r="F21" s="9">
        <v>5.0999999999999996</v>
      </c>
      <c r="G21" s="8" t="s">
        <v>1096</v>
      </c>
      <c r="H21" s="8" t="s">
        <v>1097</v>
      </c>
      <c r="I21" s="8" t="s">
        <v>273</v>
      </c>
    </row>
  </sheetData>
  <autoFilter ref="A1:I2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0" customWidth="1"/>
    <col min="2" max="2" width="20" customWidth="1"/>
  </cols>
  <sheetData>
    <row r="1" spans="1:2" x14ac:dyDescent="0.25">
      <c r="A1" s="11" t="s">
        <v>42</v>
      </c>
      <c r="B1" s="11" t="s">
        <v>1098</v>
      </c>
    </row>
    <row r="2" spans="1:2" x14ac:dyDescent="0.25">
      <c r="A2" t="s">
        <v>225</v>
      </c>
      <c r="B2">
        <v>11</v>
      </c>
    </row>
    <row r="3" spans="1:2" x14ac:dyDescent="0.25">
      <c r="A3" t="s">
        <v>303</v>
      </c>
      <c r="B3">
        <v>8</v>
      </c>
    </row>
    <row r="4" spans="1:2" x14ac:dyDescent="0.25">
      <c r="A4" t="s">
        <v>137</v>
      </c>
      <c r="B4">
        <v>6</v>
      </c>
    </row>
    <row r="5" spans="1:2" x14ac:dyDescent="0.25">
      <c r="A5" t="s">
        <v>426</v>
      </c>
      <c r="B5">
        <v>6</v>
      </c>
    </row>
    <row r="6" spans="1:2" x14ac:dyDescent="0.25">
      <c r="A6" t="s">
        <v>108</v>
      </c>
      <c r="B6">
        <v>5</v>
      </c>
    </row>
    <row r="7" spans="1:2" x14ac:dyDescent="0.25">
      <c r="A7" t="s">
        <v>80</v>
      </c>
      <c r="B7">
        <v>5</v>
      </c>
    </row>
    <row r="8" spans="1:2" x14ac:dyDescent="0.25">
      <c r="A8" t="s">
        <v>486</v>
      </c>
      <c r="B8">
        <v>5</v>
      </c>
    </row>
    <row r="9" spans="1:2" x14ac:dyDescent="0.25">
      <c r="A9" t="s">
        <v>883</v>
      </c>
      <c r="B9">
        <v>5</v>
      </c>
    </row>
    <row r="10" spans="1:2" x14ac:dyDescent="0.25">
      <c r="A10" t="s">
        <v>377</v>
      </c>
      <c r="B10">
        <v>4</v>
      </c>
    </row>
    <row r="11" spans="1:2" x14ac:dyDescent="0.25">
      <c r="A11" t="s">
        <v>179</v>
      </c>
      <c r="B11">
        <v>4</v>
      </c>
    </row>
    <row r="12" spans="1:2" x14ac:dyDescent="0.25">
      <c r="A12" t="s">
        <v>765</v>
      </c>
      <c r="B12">
        <v>4</v>
      </c>
    </row>
    <row r="13" spans="1:2" x14ac:dyDescent="0.25">
      <c r="A13" t="s">
        <v>692</v>
      </c>
      <c r="B13">
        <v>4</v>
      </c>
    </row>
    <row r="14" spans="1:2" x14ac:dyDescent="0.25">
      <c r="A14" t="s">
        <v>292</v>
      </c>
      <c r="B14">
        <v>3</v>
      </c>
    </row>
    <row r="15" spans="1:2" x14ac:dyDescent="0.25">
      <c r="A15" t="s">
        <v>62</v>
      </c>
      <c r="B15">
        <v>3</v>
      </c>
    </row>
    <row r="16" spans="1:2" x14ac:dyDescent="0.25">
      <c r="A16" t="s">
        <v>415</v>
      </c>
      <c r="B16">
        <v>3</v>
      </c>
    </row>
    <row r="17" spans="1:2" x14ac:dyDescent="0.25">
      <c r="A17" t="s">
        <v>807</v>
      </c>
      <c r="B17">
        <v>3</v>
      </c>
    </row>
    <row r="18" spans="1:2" x14ac:dyDescent="0.25">
      <c r="A18" t="s">
        <v>1043</v>
      </c>
      <c r="B18">
        <v>3</v>
      </c>
    </row>
    <row r="19" spans="1:2" x14ac:dyDescent="0.25">
      <c r="A19" t="s">
        <v>327</v>
      </c>
      <c r="B19">
        <v>2</v>
      </c>
    </row>
    <row r="20" spans="1:2" x14ac:dyDescent="0.25">
      <c r="A20" t="s">
        <v>94</v>
      </c>
      <c r="B20">
        <v>2</v>
      </c>
    </row>
    <row r="21" spans="1:2" x14ac:dyDescent="0.25">
      <c r="A21" t="s">
        <v>69</v>
      </c>
      <c r="B21">
        <v>2</v>
      </c>
    </row>
    <row r="22" spans="1:2" x14ac:dyDescent="0.25">
      <c r="A22" t="s">
        <v>504</v>
      </c>
      <c r="B22">
        <v>2</v>
      </c>
    </row>
    <row r="23" spans="1:2" x14ac:dyDescent="0.25">
      <c r="A23" t="s">
        <v>198</v>
      </c>
      <c r="B23">
        <v>2</v>
      </c>
    </row>
    <row r="24" spans="1:2" x14ac:dyDescent="0.25">
      <c r="A24" t="s">
        <v>163</v>
      </c>
      <c r="B24">
        <v>2</v>
      </c>
    </row>
    <row r="25" spans="1:2" x14ac:dyDescent="0.25">
      <c r="A25" t="s">
        <v>729</v>
      </c>
      <c r="B25">
        <v>2</v>
      </c>
    </row>
    <row r="26" spans="1:2" x14ac:dyDescent="0.25">
      <c r="A26" t="s">
        <v>734</v>
      </c>
      <c r="B26">
        <v>2</v>
      </c>
    </row>
    <row r="27" spans="1:2" x14ac:dyDescent="0.25">
      <c r="A27" t="s">
        <v>61</v>
      </c>
      <c r="B27">
        <v>2</v>
      </c>
    </row>
    <row r="28" spans="1:2" x14ac:dyDescent="0.25">
      <c r="A28" t="s">
        <v>686</v>
      </c>
      <c r="B28">
        <v>2</v>
      </c>
    </row>
    <row r="29" spans="1:2" x14ac:dyDescent="0.25">
      <c r="A29" t="s">
        <v>967</v>
      </c>
      <c r="B29">
        <v>2</v>
      </c>
    </row>
    <row r="30" spans="1:2" x14ac:dyDescent="0.25">
      <c r="A30" t="s">
        <v>973</v>
      </c>
      <c r="B30">
        <v>2</v>
      </c>
    </row>
    <row r="31" spans="1:2" x14ac:dyDescent="0.25">
      <c r="A31" t="s">
        <v>819</v>
      </c>
      <c r="B31">
        <v>2</v>
      </c>
    </row>
    <row r="32" spans="1:2" x14ac:dyDescent="0.25">
      <c r="A32" t="s">
        <v>849</v>
      </c>
      <c r="B32">
        <v>2</v>
      </c>
    </row>
    <row r="33" spans="1:2" x14ac:dyDescent="0.25">
      <c r="A33" t="s">
        <v>911</v>
      </c>
      <c r="B33">
        <v>2</v>
      </c>
    </row>
    <row r="34" spans="1:2" x14ac:dyDescent="0.25">
      <c r="A34" t="s">
        <v>782</v>
      </c>
      <c r="B34">
        <v>2</v>
      </c>
    </row>
    <row r="35" spans="1:2" x14ac:dyDescent="0.25">
      <c r="A35" t="s">
        <v>942</v>
      </c>
      <c r="B35">
        <v>2</v>
      </c>
    </row>
    <row r="36" spans="1:2" x14ac:dyDescent="0.25">
      <c r="A36" t="s">
        <v>1062</v>
      </c>
      <c r="B36">
        <v>2</v>
      </c>
    </row>
    <row r="37" spans="1:2" x14ac:dyDescent="0.25">
      <c r="A37" t="s">
        <v>343</v>
      </c>
      <c r="B37">
        <v>1</v>
      </c>
    </row>
    <row r="38" spans="1:2" x14ac:dyDescent="0.25">
      <c r="A38" t="s">
        <v>568</v>
      </c>
      <c r="B38">
        <v>1</v>
      </c>
    </row>
    <row r="39" spans="1:2" x14ac:dyDescent="0.25">
      <c r="A39" t="s">
        <v>331</v>
      </c>
      <c r="B39">
        <v>1</v>
      </c>
    </row>
    <row r="40" spans="1:2" x14ac:dyDescent="0.25">
      <c r="A40" t="s">
        <v>316</v>
      </c>
      <c r="B40">
        <v>1</v>
      </c>
    </row>
    <row r="41" spans="1:2" x14ac:dyDescent="0.25">
      <c r="A41" t="s">
        <v>324</v>
      </c>
      <c r="B41">
        <v>1</v>
      </c>
    </row>
    <row r="42" spans="1:2" x14ac:dyDescent="0.25">
      <c r="A42" t="s">
        <v>284</v>
      </c>
      <c r="B42">
        <v>1</v>
      </c>
    </row>
    <row r="43" spans="1:2" x14ac:dyDescent="0.25">
      <c r="A43" t="s">
        <v>528</v>
      </c>
      <c r="B43">
        <v>1</v>
      </c>
    </row>
    <row r="44" spans="1:2" x14ac:dyDescent="0.25">
      <c r="A44" t="s">
        <v>588</v>
      </c>
      <c r="B44">
        <v>1</v>
      </c>
    </row>
    <row r="45" spans="1:2" x14ac:dyDescent="0.25">
      <c r="A45" t="s">
        <v>537</v>
      </c>
      <c r="B45">
        <v>1</v>
      </c>
    </row>
    <row r="46" spans="1:2" x14ac:dyDescent="0.25">
      <c r="A46" t="s">
        <v>571</v>
      </c>
      <c r="B46">
        <v>1</v>
      </c>
    </row>
    <row r="47" spans="1:2" x14ac:dyDescent="0.25">
      <c r="A47" t="s">
        <v>578</v>
      </c>
      <c r="B47">
        <v>1</v>
      </c>
    </row>
    <row r="48" spans="1:2" x14ac:dyDescent="0.25">
      <c r="A48" t="s">
        <v>604</v>
      </c>
      <c r="B48">
        <v>1</v>
      </c>
    </row>
    <row r="49" spans="1:2" x14ac:dyDescent="0.25">
      <c r="A49" t="s">
        <v>599</v>
      </c>
      <c r="B49">
        <v>1</v>
      </c>
    </row>
    <row r="50" spans="1:2" x14ac:dyDescent="0.25">
      <c r="A50" t="s">
        <v>645</v>
      </c>
      <c r="B50">
        <v>1</v>
      </c>
    </row>
    <row r="51" spans="1:2" x14ac:dyDescent="0.25">
      <c r="A51" t="s">
        <v>596</v>
      </c>
      <c r="B51">
        <v>1</v>
      </c>
    </row>
    <row r="52" spans="1:2" x14ac:dyDescent="0.25">
      <c r="A52" t="s">
        <v>617</v>
      </c>
      <c r="B52">
        <v>1</v>
      </c>
    </row>
    <row r="53" spans="1:2" x14ac:dyDescent="0.25">
      <c r="A53" t="s">
        <v>554</v>
      </c>
      <c r="B53">
        <v>1</v>
      </c>
    </row>
    <row r="54" spans="1:2" x14ac:dyDescent="0.25">
      <c r="A54" t="s">
        <v>626</v>
      </c>
      <c r="B54">
        <v>1</v>
      </c>
    </row>
    <row r="55" spans="1:2" x14ac:dyDescent="0.25">
      <c r="A55" t="s">
        <v>266</v>
      </c>
      <c r="B55">
        <v>1</v>
      </c>
    </row>
    <row r="56" spans="1:2" x14ac:dyDescent="0.25">
      <c r="A56" t="s">
        <v>272</v>
      </c>
      <c r="B56">
        <v>1</v>
      </c>
    </row>
    <row r="57" spans="1:2" x14ac:dyDescent="0.25">
      <c r="A57" t="s">
        <v>613</v>
      </c>
      <c r="B57">
        <v>1</v>
      </c>
    </row>
    <row r="58" spans="1:2" x14ac:dyDescent="0.25">
      <c r="A58" t="s">
        <v>641</v>
      </c>
      <c r="B58">
        <v>1</v>
      </c>
    </row>
    <row r="59" spans="1:2" x14ac:dyDescent="0.25">
      <c r="A59" t="s">
        <v>217</v>
      </c>
      <c r="B59">
        <v>1</v>
      </c>
    </row>
    <row r="60" spans="1:2" x14ac:dyDescent="0.25">
      <c r="A60" t="s">
        <v>545</v>
      </c>
      <c r="B60">
        <v>1</v>
      </c>
    </row>
    <row r="61" spans="1:2" x14ac:dyDescent="0.25">
      <c r="A61" t="s">
        <v>105</v>
      </c>
      <c r="B61">
        <v>1</v>
      </c>
    </row>
    <row r="62" spans="1:2" x14ac:dyDescent="0.25">
      <c r="A62" t="s">
        <v>561</v>
      </c>
      <c r="B62">
        <v>1</v>
      </c>
    </row>
    <row r="63" spans="1:2" x14ac:dyDescent="0.25">
      <c r="A63" t="s">
        <v>55</v>
      </c>
      <c r="B63">
        <v>1</v>
      </c>
    </row>
    <row r="64" spans="1:2" x14ac:dyDescent="0.25">
      <c r="A64" t="s">
        <v>366</v>
      </c>
      <c r="B64">
        <v>1</v>
      </c>
    </row>
    <row r="65" spans="1:2" x14ac:dyDescent="0.25">
      <c r="A65" t="s">
        <v>519</v>
      </c>
      <c r="B65">
        <v>1</v>
      </c>
    </row>
    <row r="66" spans="1:2" x14ac:dyDescent="0.25">
      <c r="A66" t="s">
        <v>656</v>
      </c>
      <c r="B66">
        <v>1</v>
      </c>
    </row>
    <row r="67" spans="1:2" x14ac:dyDescent="0.25">
      <c r="A67" t="s">
        <v>661</v>
      </c>
      <c r="B67">
        <v>1</v>
      </c>
    </row>
    <row r="68" spans="1:2" x14ac:dyDescent="0.25">
      <c r="A68" t="s">
        <v>170</v>
      </c>
      <c r="B68">
        <v>1</v>
      </c>
    </row>
    <row r="69" spans="1:2" x14ac:dyDescent="0.25">
      <c r="A69" t="s">
        <v>469</v>
      </c>
      <c r="B69">
        <v>1</v>
      </c>
    </row>
    <row r="70" spans="1:2" x14ac:dyDescent="0.25">
      <c r="A70" t="s">
        <v>398</v>
      </c>
      <c r="B70">
        <v>1</v>
      </c>
    </row>
    <row r="71" spans="1:2" x14ac:dyDescent="0.25">
      <c r="A71" t="s">
        <v>407</v>
      </c>
      <c r="B71">
        <v>1</v>
      </c>
    </row>
    <row r="72" spans="1:2" x14ac:dyDescent="0.25">
      <c r="A72" t="s">
        <v>670</v>
      </c>
      <c r="B72">
        <v>1</v>
      </c>
    </row>
    <row r="73" spans="1:2" x14ac:dyDescent="0.25">
      <c r="A73" t="s">
        <v>674</v>
      </c>
      <c r="B73">
        <v>1</v>
      </c>
    </row>
    <row r="74" spans="1:2" x14ac:dyDescent="0.25">
      <c r="A74" t="s">
        <v>723</v>
      </c>
      <c r="B74">
        <v>1</v>
      </c>
    </row>
    <row r="75" spans="1:2" x14ac:dyDescent="0.25">
      <c r="A75" t="s">
        <v>741</v>
      </c>
      <c r="B75">
        <v>1</v>
      </c>
    </row>
    <row r="76" spans="1:2" x14ac:dyDescent="0.25">
      <c r="A76" t="s">
        <v>717</v>
      </c>
      <c r="B76">
        <v>1</v>
      </c>
    </row>
    <row r="77" spans="1:2" x14ac:dyDescent="0.25">
      <c r="A77" t="s">
        <v>750</v>
      </c>
      <c r="B77">
        <v>1</v>
      </c>
    </row>
    <row r="78" spans="1:2" x14ac:dyDescent="0.25">
      <c r="A78" t="s">
        <v>756</v>
      </c>
      <c r="B78">
        <v>1</v>
      </c>
    </row>
    <row r="79" spans="1:2" x14ac:dyDescent="0.25">
      <c r="A79" t="s">
        <v>760</v>
      </c>
      <c r="B79">
        <v>1</v>
      </c>
    </row>
    <row r="80" spans="1:2" x14ac:dyDescent="0.25">
      <c r="A80" t="s">
        <v>979</v>
      </c>
      <c r="B80">
        <v>1</v>
      </c>
    </row>
    <row r="81" spans="1:2" x14ac:dyDescent="0.25">
      <c r="A81" t="s">
        <v>926</v>
      </c>
      <c r="B81">
        <v>1</v>
      </c>
    </row>
    <row r="82" spans="1:2" x14ac:dyDescent="0.25">
      <c r="A82" t="s">
        <v>931</v>
      </c>
      <c r="B82">
        <v>1</v>
      </c>
    </row>
    <row r="83" spans="1:2" x14ac:dyDescent="0.25">
      <c r="A83" t="s">
        <v>918</v>
      </c>
      <c r="B83">
        <v>1</v>
      </c>
    </row>
    <row r="84" spans="1:2" x14ac:dyDescent="0.25">
      <c r="A84" t="s">
        <v>901</v>
      </c>
      <c r="B84">
        <v>1</v>
      </c>
    </row>
    <row r="85" spans="1:2" x14ac:dyDescent="0.25">
      <c r="A85" t="s">
        <v>888</v>
      </c>
      <c r="B85">
        <v>1</v>
      </c>
    </row>
    <row r="86" spans="1:2" x14ac:dyDescent="0.25">
      <c r="A86" t="s">
        <v>802</v>
      </c>
      <c r="B86">
        <v>1</v>
      </c>
    </row>
    <row r="87" spans="1:2" x14ac:dyDescent="0.25">
      <c r="A87" t="s">
        <v>872</v>
      </c>
      <c r="B87">
        <v>1</v>
      </c>
    </row>
    <row r="88" spans="1:2" x14ac:dyDescent="0.25">
      <c r="A88" t="s">
        <v>866</v>
      </c>
      <c r="B88">
        <v>1</v>
      </c>
    </row>
    <row r="89" spans="1:2" x14ac:dyDescent="0.25">
      <c r="A89" t="s">
        <v>829</v>
      </c>
      <c r="B89">
        <v>1</v>
      </c>
    </row>
    <row r="90" spans="1:2" x14ac:dyDescent="0.25">
      <c r="A90" t="s">
        <v>1009</v>
      </c>
      <c r="B90">
        <v>1</v>
      </c>
    </row>
    <row r="91" spans="1:2" x14ac:dyDescent="0.25">
      <c r="A91" t="s">
        <v>794</v>
      </c>
      <c r="B91">
        <v>1</v>
      </c>
    </row>
    <row r="92" spans="1:2" x14ac:dyDescent="0.25">
      <c r="A92" t="s">
        <v>877</v>
      </c>
      <c r="B92">
        <v>1</v>
      </c>
    </row>
    <row r="93" spans="1:2" x14ac:dyDescent="0.25">
      <c r="A93" t="s">
        <v>858</v>
      </c>
      <c r="B93">
        <v>1</v>
      </c>
    </row>
    <row r="94" spans="1:2" x14ac:dyDescent="0.25">
      <c r="A94" t="s">
        <v>845</v>
      </c>
      <c r="B94">
        <v>1</v>
      </c>
    </row>
    <row r="95" spans="1:2" x14ac:dyDescent="0.25">
      <c r="A95" t="s">
        <v>839</v>
      </c>
      <c r="B95">
        <v>1</v>
      </c>
    </row>
    <row r="96" spans="1:2" x14ac:dyDescent="0.25">
      <c r="A96" t="s">
        <v>834</v>
      </c>
      <c r="B96">
        <v>1</v>
      </c>
    </row>
    <row r="97" spans="1:2" x14ac:dyDescent="0.25">
      <c r="A97" t="s">
        <v>789</v>
      </c>
      <c r="B97">
        <v>1</v>
      </c>
    </row>
    <row r="98" spans="1:2" x14ac:dyDescent="0.25">
      <c r="A98" t="s">
        <v>959</v>
      </c>
      <c r="B98">
        <v>1</v>
      </c>
    </row>
    <row r="99" spans="1:2" x14ac:dyDescent="0.25">
      <c r="A99" t="s">
        <v>1002</v>
      </c>
      <c r="B99">
        <v>1</v>
      </c>
    </row>
    <row r="100" spans="1:2" x14ac:dyDescent="0.25">
      <c r="A100" t="s">
        <v>996</v>
      </c>
      <c r="B100">
        <v>1</v>
      </c>
    </row>
    <row r="101" spans="1:2" x14ac:dyDescent="0.25">
      <c r="A101" t="s">
        <v>953</v>
      </c>
      <c r="B101">
        <v>1</v>
      </c>
    </row>
    <row r="102" spans="1:2" x14ac:dyDescent="0.25">
      <c r="A102" t="s">
        <v>937</v>
      </c>
      <c r="B102">
        <v>1</v>
      </c>
    </row>
    <row r="103" spans="1:2" x14ac:dyDescent="0.25">
      <c r="A103" t="s">
        <v>1025</v>
      </c>
      <c r="B103">
        <v>1</v>
      </c>
    </row>
    <row r="104" spans="1:2" x14ac:dyDescent="0.25">
      <c r="A104" t="s">
        <v>1031</v>
      </c>
      <c r="B104">
        <v>1</v>
      </c>
    </row>
    <row r="105" spans="1:2" x14ac:dyDescent="0.25">
      <c r="A105" t="s">
        <v>1038</v>
      </c>
      <c r="B105">
        <v>1</v>
      </c>
    </row>
    <row r="106" spans="1:2" x14ac:dyDescent="0.25">
      <c r="A106" t="s">
        <v>1050</v>
      </c>
      <c r="B106">
        <v>1</v>
      </c>
    </row>
    <row r="107" spans="1:2" x14ac:dyDescent="0.25">
      <c r="A107" t="s">
        <v>1052</v>
      </c>
      <c r="B107">
        <v>1</v>
      </c>
    </row>
    <row r="108" spans="1:2" x14ac:dyDescent="0.25">
      <c r="A108" t="s">
        <v>1057</v>
      </c>
      <c r="B108">
        <v>1</v>
      </c>
    </row>
    <row r="109" spans="1:2" x14ac:dyDescent="0.25">
      <c r="A109" t="s">
        <v>1068</v>
      </c>
      <c r="B109">
        <v>1</v>
      </c>
    </row>
    <row r="110" spans="1:2" x14ac:dyDescent="0.25">
      <c r="A110" t="s">
        <v>1072</v>
      </c>
      <c r="B110">
        <v>1</v>
      </c>
    </row>
    <row r="111" spans="1:2" x14ac:dyDescent="0.25">
      <c r="A111" t="s">
        <v>1077</v>
      </c>
      <c r="B111">
        <v>1</v>
      </c>
    </row>
    <row r="112" spans="1:2" x14ac:dyDescent="0.25">
      <c r="A112" t="s">
        <v>1081</v>
      </c>
      <c r="B112">
        <v>1</v>
      </c>
    </row>
    <row r="113" spans="1:2" x14ac:dyDescent="0.25">
      <c r="A113" t="s">
        <v>1085</v>
      </c>
      <c r="B113">
        <v>1</v>
      </c>
    </row>
    <row r="114" spans="1:2" x14ac:dyDescent="0.25">
      <c r="A114" t="s">
        <v>1090</v>
      </c>
      <c r="B114">
        <v>1</v>
      </c>
    </row>
    <row r="115" spans="1:2" x14ac:dyDescent="0.25">
      <c r="A115" t="s">
        <v>1092</v>
      </c>
      <c r="B115">
        <v>1</v>
      </c>
    </row>
    <row r="116" spans="1:2" x14ac:dyDescent="0.25">
      <c r="A116" t="s">
        <v>1097</v>
      </c>
      <c r="B1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Liquefaction — Operational</vt:lpstr>
      <vt:lpstr>Liquefaction — Upcoming</vt:lpstr>
      <vt:lpstr>Regasification — Operational</vt:lpstr>
      <vt:lpstr>Regasification — Upcoming</vt:lpstr>
      <vt:lpstr>Capacity Schedule</vt:lpstr>
      <vt:lpstr>Disruptions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 FERNANDEZ REAL</cp:lastModifiedBy>
  <dcterms:created xsi:type="dcterms:W3CDTF">2026-06-22T10:42:46Z</dcterms:created>
  <dcterms:modified xsi:type="dcterms:W3CDTF">2026-06-24T11:03:04Z</dcterms:modified>
</cp:coreProperties>
</file>